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сения\Desktop\диплом\мой диплом\"/>
    </mc:Choice>
  </mc:AlternateContent>
  <xr:revisionPtr revIDLastSave="0" documentId="13_ncr:1_{BCE8C375-DEB5-446D-B818-340213624E94}" xr6:coauthVersionLast="47" xr6:coauthVersionMax="47" xr10:uidLastSave="{00000000-0000-0000-0000-000000000000}"/>
  <bookViews>
    <workbookView xWindow="-108" yWindow="-108" windowWidth="23256" windowHeight="12576" activeTab="2" xr2:uid="{47127338-D73E-4DC1-9065-D245C443A774}"/>
  </bookViews>
  <sheets>
    <sheet name="info" sheetId="3" r:id="rId1"/>
    <sheet name="спб" sheetId="1" r:id="rId2"/>
    <sheet name="Лист9" sheetId="12" r:id="rId3"/>
    <sheet name="Лист1" sheetId="4" r:id="rId4"/>
    <sheet name="Лист2" sheetId="5" r:id="rId5"/>
    <sheet name="Лист3" sheetId="6" r:id="rId6"/>
    <sheet name="кластерный 2023" sheetId="2" r:id="rId7"/>
    <sheet name="Лист4" sheetId="7" r:id="rId8"/>
    <sheet name="Лист5" sheetId="8" r:id="rId9"/>
    <sheet name="Лист6" sheetId="9" r:id="rId10"/>
    <sheet name="Лист7" sheetId="10" r:id="rId11"/>
    <sheet name="Лист8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D3" i="12"/>
  <c r="C3" i="12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3" i="1"/>
</calcChain>
</file>

<file path=xl/sharedStrings.xml><?xml version="1.0" encoding="utf-8"?>
<sst xmlns="http://schemas.openxmlformats.org/spreadsheetml/2006/main" count="788" uniqueCount="354">
  <si>
    <t>год</t>
  </si>
  <si>
    <t xml:space="preserve"> ИНДЕКС ФИЗИЧЕСКОГО ОБЪЕМА ИНВЕСТИЦИЙ В ОСНОВНОЙ КАПИТАЛ</t>
  </si>
  <si>
    <t>ИНВЕСТИЦИИ В ОСНОВНОЙ КАПИТАЛ на душу населения1)</t>
  </si>
  <si>
    <t>ИНВЕСТИЦИИ В ОСНОВНОЙ КАПИТАЛ(млн)</t>
  </si>
  <si>
    <t>инвестиции</t>
  </si>
  <si>
    <t>УРОВЕНЬ ЗАНЯТОСТИ НАСЕЛЕНИЯ  В ТРУДОСПОСОБНОМ ВОЗРАСТЕ1)</t>
  </si>
  <si>
    <t>Уровень безработицы в трудоспособном возрасте1)</t>
  </si>
  <si>
    <t>ЧИСЛЕННОСТЬ РАБОЧЕЙ СИЛЫ1)</t>
  </si>
  <si>
    <t>ВЫПУСК БАКАЛАВРОВ, СПЕЦИАЛИСТОВ, МАГИСТРОВ</t>
  </si>
  <si>
    <t>трудовая сфера</t>
  </si>
  <si>
    <t>ПОТРЕБИТЕЛЬСКИЕ РАСХОДЫ В СРЕДНЕМ НА ДУШУ НАСЕЛЕНИЯ1);2);3)</t>
  </si>
  <si>
    <t>Покупка товаров и оплата услуг</t>
  </si>
  <si>
    <t>Обязательные платежи и разнообразные взносы</t>
  </si>
  <si>
    <t>Приобретение недвижимости</t>
  </si>
  <si>
    <t>Прирост финансовых активов</t>
  </si>
  <si>
    <t>из него прирост (уменьшение) денег у населения</t>
  </si>
  <si>
    <t>ЧИСЛО СОБСТВЕННЫХ ЛЕГКОВЫХ АВТОМОБИЛЕЙ на 1000 человек населения1);2)</t>
  </si>
  <si>
    <t xml:space="preserve">покупательская способность </t>
  </si>
  <si>
    <t>ЧИСЛО ОРГАНИЗАЦИЙ1)</t>
  </si>
  <si>
    <t>ИНДЕКСЫ ПРОИЗВОДСТВА по виду экономической деятельности «Добыча полезных ископаемых»</t>
  </si>
  <si>
    <t xml:space="preserve"> ИНДЕКСЫ ПРОМЫШЛЕННОГО ПРОИЗВОДСТВА</t>
  </si>
  <si>
    <t>производственная сфера</t>
  </si>
  <si>
    <t xml:space="preserve">ДОХОДЫ КОНСОЛИДИРОВАННЫХ БЮДЖЕТОВ СУБЪЕКТОВ РОССИЙСКОЙ ФЕДЕРАЦИИ1) </t>
  </si>
  <si>
    <t>ИНДЕКС ФИЗИЧЕСКОГО ОБЪЕМА ВАЛОВОГО РЕГИОНАЛЬНОГО ПРОДУКТА</t>
  </si>
  <si>
    <t>ФАКТИЧЕСКОЕ КОНЕЧНОЕ ПОТРЕБЛЕНИЕ ДОМАШНИХ ХОЗЯЙСТВ НА ТЕРРИТОРИИ СУБЪЕКТОВ РОССИЙСКОЙ ФЕДЕРАЦИИ</t>
  </si>
  <si>
    <t xml:space="preserve"> СТОИМОСТЬ ОСНОВНЫХ ФОНДОВ1) </t>
  </si>
  <si>
    <t>ВВОД В ДЕЙСТВИЕ ЖИЛЫХ ДОМОВ</t>
  </si>
  <si>
    <t>ВВОД В ДЕЙСТВИЕ КВАРТИР</t>
  </si>
  <si>
    <t>ОБЪЕМ ИННОВАЦИОННЫХ ТОВАРОВ, РАБОТ, УСЛУГ</t>
  </si>
  <si>
    <t xml:space="preserve"> Библиотечный фонд на 1000 человек населения 1);2)</t>
  </si>
  <si>
    <t>Число туристских фирм1)</t>
  </si>
  <si>
    <t>6.1.1. Численность зрителей театров1);2)</t>
  </si>
  <si>
    <t>Спортивные залы</t>
  </si>
  <si>
    <t>Плавательные бассейны</t>
  </si>
  <si>
    <t>врп</t>
  </si>
  <si>
    <t>строит</t>
  </si>
  <si>
    <t>инфраструктура+туризм</t>
  </si>
  <si>
    <t>region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</si>
  <si>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</si>
  <si>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</si>
  <si>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</si>
  <si>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</si>
  <si>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</si>
  <si>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</si>
  <si>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</si>
  <si>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</si>
  <si>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</si>
  <si>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</si>
  <si>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</si>
  <si>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</si>
  <si>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</si>
  <si>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</si>
  <si>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</si>
  <si>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</si>
  <si>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</si>
  <si>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</si>
  <si>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</si>
  <si>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</si>
  <si>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</si>
  <si>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</si>
  <si>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</si>
  <si>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</si>
  <si>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</si>
  <si>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</si>
  <si>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</si>
  <si>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</si>
  <si>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</si>
  <si>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</si>
  <si>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</si>
  <si>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</si>
  <si>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</si>
  <si>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</si>
  <si>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</si>
  <si>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</si>
  <si>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</si>
  <si>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</si>
  <si>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</si>
  <si>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</si>
  <si>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</si>
  <si>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</si>
  <si>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</si>
  <si>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</si>
  <si>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</si>
  <si>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</si>
  <si>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</si>
  <si>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</si>
  <si>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</si>
  <si>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</si>
  <si>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</si>
  <si>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</si>
  <si>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</si>
  <si>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</si>
  <si>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</si>
  <si>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</si>
  <si>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</si>
  <si>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</si>
  <si>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</si>
  <si>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</si>
  <si>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</si>
  <si>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</si>
  <si>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</si>
  <si>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</si>
  <si>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</si>
  <si>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</si>
  <si>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</si>
  <si>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</si>
  <si>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</si>
  <si>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</si>
  <si>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</si>
  <si>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</si>
  <si>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</si>
  <si>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</si>
  <si>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</si>
  <si>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</si>
  <si>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</si>
  <si>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</si>
  <si>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</si>
  <si>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</si>
  <si>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</si>
  <si>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</si>
  <si>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</si>
  <si>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</si>
  <si>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</si>
  <si>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ИНВЕСТИЦИИ В ОСНОВНОЙ КАПИТАЛ((в фактически действовавших ценах; миллионов рублей))</t>
  </si>
  <si>
    <t>ИНВЕСТИЦИИ В ОСНОВНОЙ КАПИТАЛ на душу населения (в фактически действовавших ценах;  рублей)</t>
  </si>
  <si>
    <t>ИНДЕКС ФИЗИЧЕСКОГО ОБЪЕМА ИНВЕСТИЦИЙ В ОСНОВНОЙ КАПИТАЛ(в сопоставимых ценах; в процентах к предыдущему году)</t>
  </si>
  <si>
    <t>УРОВЕНЬ ЗАНЯТОСТИ НАСЕЛЕНИЯ  В ТРУДОСПОСОБНОМ ВОЗРАСТЕ (по данным выборочных обследований рабочей силы; в процентах)</t>
  </si>
  <si>
    <t>Уровень безработицы в трудоспособном возрасте (по данным выборочных обследований рабочей силы; в процентах)</t>
  </si>
  <si>
    <t>ЧИСЛЕННОСТЬ РАБОЧЕЙ СИЛЫ (по данным выборочных обследований рабочей силы; тысяч человек)</t>
  </si>
  <si>
    <t>ВЫПУСК БАКАЛАВРОВ, СПЕЦИАЛИСТОВ, МАГИСТРОВ(тысяч человек)</t>
  </si>
  <si>
    <t>ПОТРЕБИТЕЛЬСКИЕ РАСХОДЫ В СРЕДНЕМ НА ДУШУ НАСЕЛЕНИЯ(в месяц; рублей)</t>
  </si>
  <si>
    <t>Покупка товаров и оплата услуг(в процентах от общего объема денежных доходов)</t>
  </si>
  <si>
    <t>Обязательные платежи и разнообразные взносы(в процентах от общего объема денежных доходов)</t>
  </si>
  <si>
    <t>Приобретение недвижимости(в процентах от общего объема денежных доходов)</t>
  </si>
  <si>
    <t>Прирост финансовых активов(в процентах от общего объема денежных доходов)</t>
  </si>
  <si>
    <t>из него прирост (уменьшение) денег у населения(в процентах от общего объема денежных доходов)</t>
  </si>
  <si>
    <t>ЧИСЛО СОБСТВЕННЫХ ЛЕГКОВЫХ АВТОМОБИЛЕЙ на 1000 человек населения(на конец года; штук)</t>
  </si>
  <si>
    <t>ЧИСЛО ОРГАНИЗАЦИЙ (на конец года)</t>
  </si>
  <si>
    <t>САЛЬДИРОВАННЫЙ ФИНАНСОВЫЙ РЕЗУЛЬТАТ (ПРИБЫЛЬ МИНУС УБЫТОК) ДЕЯТЕЛЬНОСТИ ОРГАНИЗАЦИЙ</t>
  </si>
  <si>
    <t>САЛЬДИРОВАННЫЙ ФИНАНСОВЫЙ РЕЗУЛЬТАТ (ПРИБЫЛЬ МИНУС УБЫТОК) ДЕЯТЕЛЬНОСТИ ОРГАНИЗАЦИЙ(миллионов рублей)</t>
  </si>
  <si>
    <t>ИНДЕКСЫ ПРОИЗВОДСТВА по виду экономической деятельности «Добыча полезных ископаемых»(в процентах к предыдущему году)</t>
  </si>
  <si>
    <t xml:space="preserve"> ИНДЕКСЫ ПРОМЫШЛЕННОГО ПРОИЗВОДСТВА(в процентах к предыдущему году)</t>
  </si>
  <si>
    <t>ДОХОДЫ КОНСОЛИДИРОВАННЫХ БЮДЖЕТОВ СУБЪЕКТОВ РОССИЙСКОЙ ФЕДЕРАЦИИ(миллионов рублей)</t>
  </si>
  <si>
    <t>ИНДЕКС ФИЗИЧЕСКОГО ОБЪЕМА ВАЛОВОГО РЕГИОНАЛЬНОГО ПРОДУКТА(в постоянных ценах; в процентах к предыдущему году)</t>
  </si>
  <si>
    <t>ФАКТИЧЕСКОЕ КОНЕЧНОЕ ПОТРЕБЛЕНИЕ ДОМАШНИХ ХОЗЯЙСТВ НА ТЕРРИТОРИИ СУБЪЕКТОВ РОССИЙСКОЙ ФЕДЕРАЦИИ(в текущих рыночных ценах; рублей)</t>
  </si>
  <si>
    <t>СТОИМОСТЬ ОСНОВНЫХ ФОНДОВ (на конец года; по полной учетной стоимости; миллионов рублей)</t>
  </si>
  <si>
    <t>ВВОД В ДЕЙСТВИЕ ЖИЛЫХ ДОМОВ на 1000 чел (квадратных метров общей площади жилых помещений)</t>
  </si>
  <si>
    <t>ВВОД В ДЕЙСТВИЕ КВАРТИРна 1000 чел (квадратных метров общей площади жилых помещений)</t>
  </si>
  <si>
    <t>ОБЪЕМ ИННОВАЦИОННЫХ ТОВАРОВ, РАБОТ, УСЛУГ(миллионов рублей)</t>
  </si>
  <si>
    <t>Библиотечный фонд на 1000 человек населения (на конец года; экземпляров)</t>
  </si>
  <si>
    <t>Численность зрителей театров (человек)</t>
  </si>
  <si>
    <t>Спортивные залы(кол-во)</t>
  </si>
  <si>
    <t>Плавательные бассейны(кол-во)</t>
  </si>
  <si>
    <t>Число посещений музеев(чел)</t>
  </si>
  <si>
    <t>Число туристских фирм</t>
  </si>
  <si>
    <t>врп(млн руб)</t>
  </si>
  <si>
    <t>БЕРЕМЕННОСТИ С АБОРТИВНЫМ ИСХОДОМ (На 1000 женщин 15 - 49 лет)</t>
  </si>
  <si>
    <t>ЗАБОЛЕВАЕМОСТЬ на 1000 человек населения</t>
  </si>
  <si>
    <t>ЧИСЛО БОЛЬНИЧНЫХ КОЕК на 1000 чел</t>
  </si>
  <si>
    <t>ЧИСЛЕННОСТЬ ВРАЧЕЙ ВСЕХ СПЕЦИАЛЬНОСТЕЙ на 10000 чел</t>
  </si>
  <si>
    <t>ЧИСЛО БОЛЬНИЧНЫХ КОЕК на 10000 чел</t>
  </si>
  <si>
    <t>ЗАБОЛЕВАЕМОСТЬ на 10000 человек населения</t>
  </si>
  <si>
    <t>здравоохранение</t>
  </si>
  <si>
    <t>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ДЕТЬМИ(на конец года; тысяч человек)</t>
  </si>
  <si>
    <t>ВАЛОВОЙ КОЭФФИЦИЕНТ ОХВАТА ДОШКОЛЬНЫМ ОБРАЗОВАНИЕМ(на конец года;  в процентах от численности детей в возрасте 1-6 лет)</t>
  </si>
  <si>
    <t>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ОБРАЗОВАНИЯ(на начало учебного года; тысяч человек)</t>
  </si>
  <si>
    <t>Образование</t>
  </si>
  <si>
    <t>ДОХОДЫ КОНСОЛИДИРОВАННЫХ БЮДЖЕТОВ СУБЪЕКТОВ РОССИЙСКОЙ ФЕДЕРАЦИИ(млн)</t>
  </si>
  <si>
    <t>сальдо в ценах 2023</t>
  </si>
  <si>
    <t>доходы в ценах 2023</t>
  </si>
  <si>
    <t>конечное потребление в ценах 2023 года</t>
  </si>
  <si>
    <t>основные фонды в постоянных ценах</t>
  </si>
  <si>
    <t>объем иновационных товаров в ценах 2023 года</t>
  </si>
  <si>
    <t>инвестиции на душу населения в ценах 2023 года</t>
  </si>
  <si>
    <t>инвестиции в ценах 2023 года</t>
  </si>
  <si>
    <t>потребительские расходы в ценах 2023 года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</si>
  <si>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</si>
  <si>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</si>
  <si>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</si>
  <si>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</si>
  <si>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</si>
  <si>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</si>
  <si>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</si>
  <si>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</si>
  <si>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</si>
  <si>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</si>
  <si>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</si>
  <si>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</si>
  <si>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</si>
  <si>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</si>
  <si>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</si>
  <si>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</si>
  <si>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</si>
  <si>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</si>
  <si>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</si>
  <si>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</si>
  <si>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</si>
  <si>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</si>
  <si>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</si>
  <si>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</si>
  <si>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</si>
  <si>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</si>
  <si>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</si>
  <si>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</si>
  <si>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</si>
  <si>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</si>
  <si>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</si>
  <si>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</si>
  <si>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</si>
  <si>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</si>
  <si>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</si>
  <si>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</si>
  <si>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t</t>
  </si>
  <si>
    <t>year</t>
  </si>
  <si>
    <t>Показатель</t>
  </si>
  <si>
    <t>Способ приведения</t>
  </si>
  <si>
    <t>p-value</t>
  </si>
  <si>
    <t>Вторые разности</t>
  </si>
  <si>
    <t>Первые разности</t>
  </si>
  <si>
    <t>Изначально</t>
  </si>
  <si>
    <t>Третьи разности</t>
  </si>
  <si>
    <t>PC1</t>
  </si>
  <si>
    <t>PC2</t>
  </si>
  <si>
    <t>PC3</t>
  </si>
  <si>
    <t>PC4</t>
  </si>
  <si>
    <t>Уровень социально-экономического благополучия и инфраструктурного развития населения</t>
  </si>
  <si>
    <t>Образовательно-промышленный потенциал региона</t>
  </si>
  <si>
    <t>Фактор потребительской и социальной активности населения</t>
  </si>
  <si>
    <t>Фактор социально-экономической устойчивости региона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</si>
  <si>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</si>
  <si>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</si>
  <si>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</si>
  <si>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</si>
  <si>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</si>
  <si>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</si>
  <si>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</si>
  <si>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</si>
  <si>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</si>
  <si>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</si>
  <si>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</si>
  <si>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</si>
  <si>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х13</t>
  </si>
  <si>
    <t>х14</t>
  </si>
  <si>
    <t>х15</t>
  </si>
  <si>
    <t>х16</t>
  </si>
  <si>
    <t>х17</t>
  </si>
  <si>
    <t>х18</t>
  </si>
  <si>
    <t>х19</t>
  </si>
  <si>
    <t>х20</t>
  </si>
  <si>
    <t>х21</t>
  </si>
  <si>
    <t>х22</t>
  </si>
  <si>
    <t>х23</t>
  </si>
  <si>
    <t>х24</t>
  </si>
  <si>
    <t>х25</t>
  </si>
  <si>
    <t>х26</t>
  </si>
  <si>
    <t>х27</t>
  </si>
  <si>
    <t>х28</t>
  </si>
  <si>
    <t>х29</t>
  </si>
  <si>
    <t>х30</t>
  </si>
  <si>
    <t>х31</t>
  </si>
  <si>
    <t>х32</t>
  </si>
  <si>
    <t>х33</t>
  </si>
  <si>
    <t>invest1</t>
  </si>
  <si>
    <t>X3</t>
  </si>
  <si>
    <t>X4</t>
  </si>
  <si>
    <t>X7</t>
  </si>
  <si>
    <t>X14</t>
  </si>
  <si>
    <t>X15</t>
  </si>
  <si>
    <t>X17</t>
  </si>
  <si>
    <t>X23</t>
  </si>
  <si>
    <t>X31</t>
  </si>
  <si>
    <t>d_invest2</t>
  </si>
  <si>
    <t>d_invest3</t>
  </si>
  <si>
    <t>d_X1</t>
  </si>
  <si>
    <t>d_X3</t>
  </si>
  <si>
    <t>d_X5</t>
  </si>
  <si>
    <t>d_X6</t>
  </si>
  <si>
    <t>d_X9</t>
  </si>
  <si>
    <t>d_X8</t>
  </si>
  <si>
    <t>d_X10</t>
  </si>
  <si>
    <t>d_xX11</t>
  </si>
  <si>
    <t>d_d_12</t>
  </si>
  <si>
    <t>d_d_X13</t>
  </si>
  <si>
    <t>d_X16</t>
  </si>
  <si>
    <t>d_18</t>
  </si>
  <si>
    <t>d_d_X19</t>
  </si>
  <si>
    <t>d_X20</t>
  </si>
  <si>
    <t>d_X21</t>
  </si>
  <si>
    <t>d_X22</t>
  </si>
  <si>
    <t>d_X24</t>
  </si>
  <si>
    <t>d_d_d_X25</t>
  </si>
  <si>
    <t>d_X26</t>
  </si>
  <si>
    <t>d_d_X27</t>
  </si>
  <si>
    <t>d_d_X28</t>
  </si>
  <si>
    <t>d_X29</t>
  </si>
  <si>
    <t>d_d_X30</t>
  </si>
  <si>
    <t>d_d_X32</t>
  </si>
  <si>
    <t>d_d_d_X33</t>
  </si>
  <si>
    <t>invest2</t>
  </si>
  <si>
    <t>invest3</t>
  </si>
  <si>
    <t>Описание</t>
  </si>
  <si>
    <t>Единица измерения</t>
  </si>
  <si>
    <t>Индекс физического объема инвестиций в основной капитал</t>
  </si>
  <si>
    <t>в процентах к предыдущему году</t>
  </si>
  <si>
    <t>Инвестиции в основной капитал на душу населения</t>
  </si>
  <si>
    <t>рублей</t>
  </si>
  <si>
    <t>Инвестиции в основной капитал</t>
  </si>
  <si>
    <t>миллионов рублей</t>
  </si>
  <si>
    <t>Уровень занятости населения в трудоспособном возрасте</t>
  </si>
  <si>
    <t>в процентах</t>
  </si>
  <si>
    <t>Уровень безработицы в трудоспособном возрасте</t>
  </si>
  <si>
    <t>Численность рабочей силы</t>
  </si>
  <si>
    <t>тысяч человек</t>
  </si>
  <si>
    <t>Выпуск бакалавров, специалистов, магистров</t>
  </si>
  <si>
    <t>Потребительские расходы в среднем на душу населения</t>
  </si>
  <si>
    <t>рублей в месяц</t>
  </si>
  <si>
    <t>в процентах от доходов</t>
  </si>
  <si>
    <t>Прирост (уменьшение) денег у населения</t>
  </si>
  <si>
    <t>Число собственных легковых автомобилей на 1000 человек</t>
  </si>
  <si>
    <t>штук</t>
  </si>
  <si>
    <t>Число организаций</t>
  </si>
  <si>
    <t>единиц</t>
  </si>
  <si>
    <t>Сальдированный финансовый результат деятельности организаций</t>
  </si>
  <si>
    <t>Индексы производства по добыче полезных ископаемых</t>
  </si>
  <si>
    <t>Число больничных коек на 10000 человек</t>
  </si>
  <si>
    <t>коек</t>
  </si>
  <si>
    <t>Доходы консолидированных бюджетов субъектов РФ</t>
  </si>
  <si>
    <t>Индекс физического объема ВРП</t>
  </si>
  <si>
    <t>Фактическое конечное потребление домашних хозяйств</t>
  </si>
  <si>
    <t>Стоимость основных фондов</t>
  </si>
  <si>
    <t>Ввод в действие жилых домов на 1000 человек</t>
  </si>
  <si>
    <t>кв. м</t>
  </si>
  <si>
    <t>Ввод в действие квартир на 1000 человек</t>
  </si>
  <si>
    <t>Объем инновационных товаров, работ, услуг</t>
  </si>
  <si>
    <t>Численность зрителей театров</t>
  </si>
  <si>
    <t>человек</t>
  </si>
  <si>
    <t>кол-во</t>
  </si>
  <si>
    <t>Число посещений музеев</t>
  </si>
  <si>
    <t>Беременности с абортивным исходом</t>
  </si>
  <si>
    <t>на 1000 женщин 15-49 лет</t>
  </si>
  <si>
    <t>Индексы промышленного производства</t>
  </si>
  <si>
    <t>Численность врачей всех специальностей</t>
  </si>
  <si>
    <t>на 10000 человек</t>
  </si>
  <si>
    <t>Численность воспитанников дошкольных организаций</t>
  </si>
  <si>
    <t>Охват дошкольным образованием</t>
  </si>
  <si>
    <t>в процентах от численности детей 1–6 лет</t>
  </si>
  <si>
    <t>Численность обучающихся в школах</t>
  </si>
  <si>
    <t>Название показателя</t>
  </si>
  <si>
    <t>CPI</t>
  </si>
  <si>
    <t>-</t>
  </si>
  <si>
    <t>Тепм роста(цепной), %</t>
  </si>
  <si>
    <t>Темп роста (базисный), %</t>
  </si>
  <si>
    <t>Темп прироста (цепной), %</t>
  </si>
  <si>
    <t>Темп прироста (базисный),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</si>
</sst>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_ ;\-0\ "/>
    <numFmt numFmtId="166" formatCode="#,##0.0"/>
    <numFmt numFmtId="167" formatCode="#,##0.####"/>
    <numFmt numFmtId="168" formatCode="0.000"/>
  </numFmts>
  <fonts count="1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</font>
    <font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8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6" fillId="0" borderId="0"/>
  </cellStyleXfs>
  <cellXfs count="7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indent="2"/>
    </xf>
    <xf numFmtId="1" fontId="4" fillId="0" borderId="1" xfId="0" applyNumberFormat="1" applyFont="1" applyBorder="1" applyAlignment="1">
      <alignment horizontal="right" indent="1"/>
    </xf>
    <xf numFmtId="164" fontId="4" fillId="0" borderId="1" xfId="0" applyNumberFormat="1" applyFont="1" applyBorder="1" applyAlignment="1">
      <alignment horizontal="right" indent="1"/>
    </xf>
    <xf numFmtId="0" fontId="4" fillId="0" borderId="1" xfId="0" applyFont="1" applyBorder="1" applyAlignment="1">
      <alignment horizontal="right" wrapText="1" indent="1"/>
    </xf>
    <xf numFmtId="164" fontId="3" fillId="0" borderId="1" xfId="0" applyNumberFormat="1" applyFont="1" applyBorder="1" applyAlignment="1">
      <alignment horizontal="right" indent="2"/>
    </xf>
    <xf numFmtId="166" fontId="4" fillId="0" borderId="1" xfId="0" applyNumberFormat="1" applyFont="1" applyBorder="1" applyAlignment="1">
      <alignment horizontal="right" indent="1"/>
    </xf>
    <xf numFmtId="164" fontId="4" fillId="0" borderId="1" xfId="0" applyNumberFormat="1" applyFont="1" applyBorder="1" applyAlignment="1">
      <alignment horizontal="right" wrapText="1" indent="2"/>
    </xf>
    <xf numFmtId="0" fontId="4" fillId="0" borderId="1" xfId="0" applyFont="1" applyBorder="1" applyAlignment="1">
      <alignment horizontal="right" indent="1"/>
    </xf>
    <xf numFmtId="164" fontId="3" fillId="0" borderId="1" xfId="0" applyNumberFormat="1" applyFont="1" applyBorder="1" applyAlignment="1">
      <alignment horizontal="right" wrapText="1" indent="2"/>
    </xf>
    <xf numFmtId="164" fontId="4" fillId="0" borderId="1" xfId="0" applyNumberFormat="1" applyFont="1" applyBorder="1" applyAlignment="1">
      <alignment horizontal="right" indent="2" shrinkToFit="1"/>
    </xf>
    <xf numFmtId="165" fontId="4" fillId="0" borderId="1" xfId="1" applyNumberFormat="1" applyFont="1" applyFill="1" applyBorder="1" applyAlignment="1">
      <alignment horizontal="right" indent="1"/>
    </xf>
    <xf numFmtId="164" fontId="4" fillId="0" borderId="1" xfId="2" applyNumberFormat="1" applyFont="1" applyBorder="1" applyAlignment="1">
      <alignment horizontal="right" wrapText="1" indent="2"/>
    </xf>
    <xf numFmtId="164" fontId="4" fillId="0" borderId="1" xfId="0" applyNumberFormat="1" applyFont="1" applyBorder="1" applyAlignment="1">
      <alignment horizontal="right" wrapText="1" indent="1"/>
    </xf>
    <xf numFmtId="1" fontId="4" fillId="0" borderId="1" xfId="0" applyNumberFormat="1" applyFont="1" applyBorder="1" applyAlignment="1">
      <alignment horizontal="right" wrapText="1" indent="1"/>
    </xf>
    <xf numFmtId="166" fontId="4" fillId="0" borderId="1" xfId="0" applyNumberFormat="1" applyFont="1" applyBorder="1" applyAlignment="1">
      <alignment horizontal="right" wrapText="1" indent="1"/>
    </xf>
    <xf numFmtId="1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 applyProtection="1">
      <alignment horizontal="right" indent="1"/>
      <protection locked="0"/>
    </xf>
    <xf numFmtId="0" fontId="4" fillId="0" borderId="1" xfId="0" applyFont="1" applyBorder="1" applyAlignment="1">
      <alignment horizontal="right" wrapText="1" indent="2"/>
    </xf>
    <xf numFmtId="0" fontId="3" fillId="0" borderId="1" xfId="0" applyFont="1" applyBorder="1" applyAlignment="1">
      <alignment horizontal="right" wrapText="1" indent="2"/>
    </xf>
    <xf numFmtId="1" fontId="4" fillId="0" borderId="1" xfId="0" applyNumberFormat="1" applyFont="1" applyBorder="1" applyAlignment="1">
      <alignment horizontal="right" wrapText="1" indent="2"/>
    </xf>
    <xf numFmtId="1" fontId="3" fillId="0" borderId="1" xfId="0" applyNumberFormat="1" applyFont="1" applyBorder="1" applyAlignment="1">
      <alignment horizontal="right" wrapText="1" indent="2"/>
    </xf>
    <xf numFmtId="1" fontId="4" fillId="0" borderId="1" xfId="0" applyNumberFormat="1" applyFont="1" applyBorder="1" applyAlignment="1">
      <alignment horizontal="center" wrapText="1" indent="2"/>
    </xf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wrapText="1" indent="1"/>
    </xf>
    <xf numFmtId="49" fontId="4" fillId="0" borderId="1" xfId="0" applyNumberFormat="1" applyFont="1" applyBorder="1" applyAlignment="1">
      <alignment horizontal="right" wrapText="1" indent="2"/>
    </xf>
    <xf numFmtId="3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7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3" fillId="0" borderId="4" xfId="0" applyFont="1" applyBorder="1"/>
    <xf numFmtId="0" fontId="4" fillId="0" borderId="4" xfId="0" applyFont="1" applyBorder="1" applyAlignment="1">
      <alignment horizontal="right" indent="1"/>
    </xf>
    <xf numFmtId="0" fontId="0" fillId="0" borderId="5" xfId="0" applyBorder="1"/>
    <xf numFmtId="0" fontId="4" fillId="0" borderId="5" xfId="0" applyFont="1" applyBorder="1" applyAlignment="1">
      <alignment horizontal="right" indent="1"/>
    </xf>
    <xf numFmtId="0" fontId="3" fillId="0" borderId="6" xfId="0" applyFont="1" applyBorder="1" applyAlignment="1">
      <alignment wrapText="1"/>
    </xf>
    <xf numFmtId="1" fontId="4" fillId="0" borderId="6" xfId="0" applyNumberFormat="1" applyFont="1" applyBorder="1" applyAlignment="1">
      <alignment horizontal="right" indent="1"/>
    </xf>
    <xf numFmtId="0" fontId="3" fillId="0" borderId="1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11" fontId="7" fillId="0" borderId="1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4" borderId="1" xfId="0" applyFill="1" applyBorder="1"/>
    <xf numFmtId="0" fontId="0" fillId="2" borderId="0" xfId="0" applyFill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8" fontId="0" fillId="0" borderId="0" xfId="0" applyNumberFormat="1"/>
    <xf numFmtId="0" fontId="3" fillId="0" borderId="8" xfId="0" applyFont="1" applyBorder="1"/>
    <xf numFmtId="168" fontId="0" fillId="0" borderId="1" xfId="0" applyNumberFormat="1" applyBorder="1"/>
    <xf numFmtId="0" fontId="11" fillId="0" borderId="1" xfId="0" applyFont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2" fontId="11" fillId="0" borderId="1" xfId="0" applyNumberFormat="1" applyFont="1" applyBorder="1" applyAlignment="1">
      <alignment horizontal="justify" vertical="center" wrapText="1"/>
    </xf>
    <xf numFmtId="2" fontId="11" fillId="2" borderId="1" xfId="0" applyNumberFormat="1" applyFont="1" applyFill="1" applyBorder="1" applyAlignment="1">
      <alignment horizontal="justify" vertical="center" wrapText="1"/>
    </xf>
    <xf numFmtId="2" fontId="11" fillId="5" borderId="1" xfId="0" applyNumberFormat="1" applyFont="1" applyFill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/>
    </xf>
    <xf numFmtId="0" fontId="1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wrapText="1"/>
    </xf>
  </cellXfs>
  <cellStyles count="5">
    <cellStyle name="Normal" xfId="2" xr:uid="{352CB873-6ABE-4ACE-B3BF-140E133C1E51}"/>
    <cellStyle name="Обычный" xfId="0" builtinId="0"/>
    <cellStyle name="Обычный 2" xfId="3" xr:uid="{73657164-BBF5-47F0-B22B-5CDA080B2F21}"/>
    <cellStyle name="Обычный 3" xfId="4" xr:uid="{51A28FDE-AE65-4EAD-A06D-990CAB37644A}"/>
    <cellStyle name="Финансовый" xfId="1" builtinId="3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Лист9!$A$2:$A$25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Лист9!$B$2:$B$25</c:f>
              <c:numCache>
                <c:formatCode>0</c:formatCode>
                <c:ptCount val="24"/>
                <c:pt idx="0">
                  <c:v>35891</c:v>
                </c:pt>
                <c:pt idx="1">
                  <c:v>53168.620999999999</c:v>
                </c:pt>
                <c:pt idx="2">
                  <c:v>76045.600712487692</c:v>
                </c:pt>
                <c:pt idx="3">
                  <c:v>111677.85689401023</c:v>
                </c:pt>
                <c:pt idx="4">
                  <c:v>117762.18257927168</c:v>
                </c:pt>
                <c:pt idx="5">
                  <c:v>156854</c:v>
                </c:pt>
                <c:pt idx="6">
                  <c:v>193683.50451439974</c:v>
                </c:pt>
                <c:pt idx="7">
                  <c:v>303448.3913778885</c:v>
                </c:pt>
                <c:pt idx="8">
                  <c:v>372637</c:v>
                </c:pt>
                <c:pt idx="9">
                  <c:v>334074</c:v>
                </c:pt>
                <c:pt idx="10">
                  <c:v>401537</c:v>
                </c:pt>
                <c:pt idx="11">
                  <c:v>360368</c:v>
                </c:pt>
                <c:pt idx="12">
                  <c:v>352116</c:v>
                </c:pt>
                <c:pt idx="13">
                  <c:v>475149</c:v>
                </c:pt>
                <c:pt idx="14">
                  <c:v>523331</c:v>
                </c:pt>
                <c:pt idx="15">
                  <c:v>483423</c:v>
                </c:pt>
                <c:pt idx="16">
                  <c:v>678642.23499999999</c:v>
                </c:pt>
                <c:pt idx="17">
                  <c:v>672365.24300000002</c:v>
                </c:pt>
                <c:pt idx="18">
                  <c:v>852922.87</c:v>
                </c:pt>
                <c:pt idx="19">
                  <c:v>744094.79799999995</c:v>
                </c:pt>
                <c:pt idx="20">
                  <c:v>765493.45900000003</c:v>
                </c:pt>
                <c:pt idx="21">
                  <c:v>896715.83100000001</c:v>
                </c:pt>
                <c:pt idx="22">
                  <c:v>1050123.1610000001</c:v>
                </c:pt>
                <c:pt idx="23">
                  <c:v>1195595.0589999999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F-485F-BBA8-B015F1F1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936688"/>
        <c:axId val="1459937168"/>
      </c:lineChart>
      <c:catAx>
        <c:axId val="145993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937168"/>
        <c:crosses val="autoZero"/>
        <c:auto val="1"/>
        <c:lblAlgn val="ctr"/>
        <c:lblOffset val="100"/>
        <c:noMultiLvlLbl val="0"/>
      </c:catAx>
      <c:valAx>
        <c:axId val="14599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993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0</xdr:row>
      <xdr:rowOff>613410</xdr:rowOff>
    </xdr:from>
    <xdr:to>
      <xdr:col>14</xdr:col>
      <xdr:colOff>510540</xdr:colOff>
      <xdr:row>13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1A5757-7BAB-BBC4-EEE2-1FE314E0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5BCB-5303-4FF5-98D9-CFD406A29994}">
  <dimension ref="B1:B38"/>
  <sheetViews>
    <sheetView topLeftCell="A16" workbookViewId="0">
      <selection activeCell="B34" activeCellId="1" sqref="B32 B34:B38"/>
    </sheetView>
  </sheetViews>
  <sheetFormatPr defaultRowHeight="14.4" x14ac:dyDescent="0.3"/>
  <sheetData>
    <row r="1" spans="2:2" x14ac:dyDescent="0.3">
      <c r="B1" s="36" t="s">
        <v>125</v>
      </c>
    </row>
    <row r="2" spans="2:2" x14ac:dyDescent="0.3">
      <c r="B2" s="36" t="s">
        <v>124</v>
      </c>
    </row>
    <row r="3" spans="2:2" x14ac:dyDescent="0.3">
      <c r="B3" s="36" t="s">
        <v>123</v>
      </c>
    </row>
    <row r="4" spans="2:2" x14ac:dyDescent="0.3">
      <c r="B4" s="36" t="s">
        <v>126</v>
      </c>
    </row>
    <row r="5" spans="2:2" x14ac:dyDescent="0.3">
      <c r="B5" s="36" t="s">
        <v>127</v>
      </c>
    </row>
    <row r="6" spans="2:2" x14ac:dyDescent="0.3">
      <c r="B6" s="36" t="s">
        <v>128</v>
      </c>
    </row>
    <row r="7" spans="2:2" x14ac:dyDescent="0.3">
      <c r="B7" s="36" t="s">
        <v>129</v>
      </c>
    </row>
    <row r="8" spans="2:2" x14ac:dyDescent="0.3">
      <c r="B8" s="36" t="s">
        <v>130</v>
      </c>
    </row>
    <row r="9" spans="2:2" x14ac:dyDescent="0.3">
      <c r="B9" s="37" t="s">
        <v>131</v>
      </c>
    </row>
    <row r="10" spans="2:2" x14ac:dyDescent="0.3">
      <c r="B10" s="37" t="s">
        <v>132</v>
      </c>
    </row>
    <row r="11" spans="2:2" x14ac:dyDescent="0.3">
      <c r="B11" s="37" t="s">
        <v>133</v>
      </c>
    </row>
    <row r="12" spans="2:2" x14ac:dyDescent="0.3">
      <c r="B12" s="37" t="s">
        <v>134</v>
      </c>
    </row>
    <row r="13" spans="2:2" x14ac:dyDescent="0.3">
      <c r="B13" s="37" t="s">
        <v>135</v>
      </c>
    </row>
    <row r="14" spans="2:2" x14ac:dyDescent="0.3">
      <c r="B14" s="36" t="s">
        <v>136</v>
      </c>
    </row>
    <row r="15" spans="2:2" x14ac:dyDescent="0.3">
      <c r="B15" s="36" t="s">
        <v>137</v>
      </c>
    </row>
    <row r="16" spans="2:2" x14ac:dyDescent="0.3">
      <c r="B16" s="36" t="s">
        <v>139</v>
      </c>
    </row>
    <row r="17" spans="2:2" x14ac:dyDescent="0.3">
      <c r="B17" s="36" t="s">
        <v>140</v>
      </c>
    </row>
    <row r="18" spans="2:2" x14ac:dyDescent="0.3">
      <c r="B18" s="36" t="s">
        <v>141</v>
      </c>
    </row>
    <row r="19" spans="2:2" x14ac:dyDescent="0.3">
      <c r="B19" s="36" t="s">
        <v>142</v>
      </c>
    </row>
    <row r="20" spans="2:2" x14ac:dyDescent="0.3">
      <c r="B20" s="36" t="s">
        <v>143</v>
      </c>
    </row>
    <row r="21" spans="2:2" x14ac:dyDescent="0.3">
      <c r="B21" s="36" t="s">
        <v>144</v>
      </c>
    </row>
    <row r="22" spans="2:2" x14ac:dyDescent="0.3">
      <c r="B22" s="36" t="s">
        <v>145</v>
      </c>
    </row>
    <row r="23" spans="2:2" x14ac:dyDescent="0.3">
      <c r="B23" s="36" t="s">
        <v>146</v>
      </c>
    </row>
    <row r="24" spans="2:2" x14ac:dyDescent="0.3">
      <c r="B24" s="36" t="s">
        <v>147</v>
      </c>
    </row>
    <row r="25" spans="2:2" x14ac:dyDescent="0.3">
      <c r="B25" s="36" t="s">
        <v>148</v>
      </c>
    </row>
    <row r="26" spans="2:2" x14ac:dyDescent="0.3">
      <c r="B26" s="36" t="s">
        <v>149</v>
      </c>
    </row>
    <row r="27" spans="2:2" x14ac:dyDescent="0.3">
      <c r="B27" s="36" t="s">
        <v>150</v>
      </c>
    </row>
    <row r="28" spans="2:2" x14ac:dyDescent="0.3">
      <c r="B28" s="36" t="s">
        <v>151</v>
      </c>
    </row>
    <row r="29" spans="2:2" x14ac:dyDescent="0.3">
      <c r="B29" s="36" t="s">
        <v>152</v>
      </c>
    </row>
    <row r="30" spans="2:2" x14ac:dyDescent="0.3">
      <c r="B30" s="36" t="s">
        <v>154</v>
      </c>
    </row>
    <row r="31" spans="2:2" x14ac:dyDescent="0.3">
      <c r="B31" s="36" t="s">
        <v>153</v>
      </c>
    </row>
    <row r="32" spans="2:2" x14ac:dyDescent="0.3">
      <c r="B32" t="s">
        <v>156</v>
      </c>
    </row>
    <row r="33" spans="2:2" x14ac:dyDescent="0.3">
      <c r="B33" s="36" t="s">
        <v>161</v>
      </c>
    </row>
    <row r="34" spans="2:2" x14ac:dyDescent="0.3">
      <c r="B34" s="36" t="s">
        <v>160</v>
      </c>
    </row>
    <row r="35" spans="2:2" x14ac:dyDescent="0.3">
      <c r="B35" s="36" t="s">
        <v>159</v>
      </c>
    </row>
    <row r="36" spans="2:2" x14ac:dyDescent="0.3">
      <c r="B36" s="36" t="s">
        <v>163</v>
      </c>
    </row>
    <row r="37" spans="2:2" x14ac:dyDescent="0.3">
      <c r="B37" s="36" t="s">
        <v>164</v>
      </c>
    </row>
    <row r="38" spans="2:2" x14ac:dyDescent="0.3">
      <c r="B38" s="36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5EA2-A684-4F93-AA09-865897BD24C4}">
  <dimension ref="A1:AW26"/>
  <sheetViews>
    <sheetView zoomScale="82" zoomScaleNormal="82" workbookViewId="0">
      <selection activeCell="F2" sqref="F1:F1048576"/>
    </sheetView>
  </sheetViews>
  <sheetFormatPr defaultRowHeight="14.4" x14ac:dyDescent="0.3"/>
  <cols>
    <col min="1" max="2" width="9" bestFit="1" customWidth="1"/>
    <col min="3" max="3" width="10.5546875" bestFit="1" customWidth="1"/>
    <col min="4" max="4" width="9" bestFit="1" customWidth="1"/>
    <col min="5" max="5" width="9" customWidth="1"/>
    <col min="6" max="6" width="9.77734375" bestFit="1" customWidth="1"/>
    <col min="7" max="10" width="9" bestFit="1" customWidth="1"/>
    <col min="11" max="11" width="9" customWidth="1"/>
    <col min="12" max="19" width="9" bestFit="1" customWidth="1"/>
    <col min="20" max="21" width="9" customWidth="1"/>
    <col min="22" max="23" width="9" bestFit="1" customWidth="1"/>
    <col min="24" max="24" width="9" customWidth="1"/>
    <col min="25" max="25" width="10.44140625" bestFit="1" customWidth="1"/>
    <col min="26" max="26" width="9" bestFit="1" customWidth="1"/>
    <col min="27" max="28" width="11.6640625" bestFit="1" customWidth="1"/>
    <col min="29" max="29" width="11.6640625" customWidth="1"/>
    <col min="30" max="32" width="9" bestFit="1" customWidth="1"/>
    <col min="33" max="33" width="9" customWidth="1"/>
    <col min="34" max="34" width="9.44140625" bestFit="1" customWidth="1"/>
    <col min="35" max="37" width="9" bestFit="1" customWidth="1"/>
    <col min="43" max="43" width="22.44140625" customWidth="1"/>
    <col min="45" max="45" width="21.33203125" customWidth="1"/>
  </cols>
  <sheetData>
    <row r="1" spans="1:49" x14ac:dyDescent="0.3">
      <c r="A1" s="1"/>
      <c r="B1" s="73" t="s">
        <v>4</v>
      </c>
      <c r="C1" s="73"/>
      <c r="D1" s="73"/>
      <c r="E1" s="73"/>
      <c r="F1" s="73"/>
      <c r="G1" s="73" t="s">
        <v>9</v>
      </c>
      <c r="H1" s="73"/>
      <c r="I1" s="73"/>
      <c r="J1" s="73"/>
      <c r="K1" s="48"/>
      <c r="L1" s="73" t="s">
        <v>17</v>
      </c>
      <c r="M1" s="73"/>
      <c r="N1" s="73"/>
      <c r="O1" s="73"/>
      <c r="P1" s="73"/>
      <c r="Q1" s="73"/>
      <c r="R1" s="73"/>
      <c r="S1" s="73" t="s">
        <v>21</v>
      </c>
      <c r="T1" s="73"/>
      <c r="U1" s="73"/>
      <c r="V1" s="73"/>
      <c r="W1" s="73"/>
      <c r="X1" s="48"/>
      <c r="Y1" s="73" t="s">
        <v>34</v>
      </c>
      <c r="Z1" s="73"/>
      <c r="AA1" s="73"/>
      <c r="AB1" s="73"/>
      <c r="AC1" s="73"/>
      <c r="AD1" s="73"/>
      <c r="AE1" s="73" t="s">
        <v>35</v>
      </c>
      <c r="AF1" s="73"/>
      <c r="AG1" s="47"/>
      <c r="AH1" s="71" t="s">
        <v>36</v>
      </c>
      <c r="AI1" s="72"/>
      <c r="AJ1" s="72"/>
      <c r="AK1" s="72"/>
      <c r="AL1" s="72"/>
      <c r="AM1" s="72"/>
      <c r="AN1" s="70" t="s">
        <v>162</v>
      </c>
      <c r="AO1" s="70"/>
      <c r="AP1" s="70"/>
      <c r="AQ1" s="70" t="s">
        <v>166</v>
      </c>
      <c r="AR1" s="70"/>
      <c r="AS1" s="70"/>
    </row>
    <row r="2" spans="1:49" ht="290.39999999999998" x14ac:dyDescent="0.3">
      <c r="A2" s="1" t="s">
        <v>0</v>
      </c>
      <c r="B2" s="2" t="s">
        <v>1</v>
      </c>
      <c r="C2" s="2" t="s">
        <v>173</v>
      </c>
      <c r="D2" s="2" t="s">
        <v>2</v>
      </c>
      <c r="E2" s="2" t="s">
        <v>174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175</v>
      </c>
      <c r="L2" s="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2" t="s">
        <v>16</v>
      </c>
      <c r="S2" s="2" t="s">
        <v>18</v>
      </c>
      <c r="T2" s="2" t="s">
        <v>138</v>
      </c>
      <c r="U2" s="2" t="s">
        <v>168</v>
      </c>
      <c r="V2" s="2" t="s">
        <v>19</v>
      </c>
      <c r="W2" s="2" t="s">
        <v>20</v>
      </c>
      <c r="X2" s="2" t="s">
        <v>169</v>
      </c>
      <c r="Y2" s="2" t="s">
        <v>22</v>
      </c>
      <c r="Z2" s="2" t="s">
        <v>23</v>
      </c>
      <c r="AA2" s="2" t="s">
        <v>170</v>
      </c>
      <c r="AB2" s="2" t="s">
        <v>24</v>
      </c>
      <c r="AC2" s="2" t="s">
        <v>171</v>
      </c>
      <c r="AD2" s="2" t="s">
        <v>25</v>
      </c>
      <c r="AE2" s="2" t="s">
        <v>26</v>
      </c>
      <c r="AF2" s="2" t="s">
        <v>27</v>
      </c>
      <c r="AG2" s="2" t="s">
        <v>172</v>
      </c>
      <c r="AH2" s="2" t="s">
        <v>28</v>
      </c>
      <c r="AI2" s="2" t="s">
        <v>31</v>
      </c>
      <c r="AJ2" s="2" t="s">
        <v>32</v>
      </c>
      <c r="AK2" s="2" t="s">
        <v>33</v>
      </c>
      <c r="AL2" s="2" t="s">
        <v>30</v>
      </c>
      <c r="AM2" s="43" t="s">
        <v>153</v>
      </c>
      <c r="AN2" s="2" t="s">
        <v>156</v>
      </c>
      <c r="AO2" s="45" t="s">
        <v>158</v>
      </c>
      <c r="AP2" s="45" t="s">
        <v>159</v>
      </c>
      <c r="AQ2" s="45" t="s">
        <v>163</v>
      </c>
      <c r="AR2" s="45" t="s">
        <v>164</v>
      </c>
      <c r="AS2" s="46" t="s">
        <v>165</v>
      </c>
      <c r="AT2" s="45" t="s">
        <v>348</v>
      </c>
      <c r="AU2" s="1" t="s">
        <v>213</v>
      </c>
      <c r="AV2" s="45" t="s">
        <v>348</v>
      </c>
      <c r="AW2" s="1" t="s">
        <v>213</v>
      </c>
    </row>
    <row r="3" spans="1:49" x14ac:dyDescent="0.3">
      <c r="A3" s="1">
        <v>2000</v>
      </c>
      <c r="B3" s="4">
        <v>80.2</v>
      </c>
      <c r="C3" s="4">
        <f t="shared" ref="C3:C26" si="0">D3*AT3</f>
        <v>67598.944037512221</v>
      </c>
      <c r="D3" s="5">
        <v>7590</v>
      </c>
      <c r="E3" s="5">
        <f t="shared" ref="E3:E26" si="1">F3*AT3</f>
        <v>319656.61402507924</v>
      </c>
      <c r="F3" s="5">
        <v>35891</v>
      </c>
      <c r="G3" s="6">
        <v>73.616011212638114</v>
      </c>
      <c r="H3" s="6">
        <v>6.5474720067976468</v>
      </c>
      <c r="I3" s="7">
        <v>2452</v>
      </c>
      <c r="J3" s="8">
        <v>49.7</v>
      </c>
      <c r="K3" s="8">
        <f t="shared" ref="K3:K26" si="2">L3*AT3</f>
        <v>18819.047266306105</v>
      </c>
      <c r="L3" s="5">
        <v>2113</v>
      </c>
      <c r="M3" s="6">
        <v>82.7</v>
      </c>
      <c r="N3" s="6">
        <v>7.9</v>
      </c>
      <c r="O3" s="6">
        <v>3.7</v>
      </c>
      <c r="P3" s="6">
        <v>5.7</v>
      </c>
      <c r="Q3" s="6">
        <v>-9.1999999999999993</v>
      </c>
      <c r="R3" s="9">
        <v>180.3</v>
      </c>
      <c r="S3" s="11">
        <v>218681</v>
      </c>
      <c r="T3" s="11">
        <v>30323</v>
      </c>
      <c r="U3" s="11">
        <f t="shared" ref="U3:U26" si="3">T3*AT3</f>
        <v>270066.24243076198</v>
      </c>
      <c r="V3" s="6">
        <v>67.400000000000006</v>
      </c>
      <c r="W3" s="6">
        <v>102</v>
      </c>
      <c r="X3" s="6">
        <f t="shared" ref="X3:X26" si="4">Y3*AT3</f>
        <v>337240.35515989613</v>
      </c>
      <c r="Y3" s="6">
        <v>37865.300000000003</v>
      </c>
      <c r="Z3" s="9">
        <v>110.1</v>
      </c>
      <c r="AA3" s="9">
        <f t="shared" ref="AA3:AA26" si="5">AB3*AT3</f>
        <v>1222099.8450308463</v>
      </c>
      <c r="AB3" s="6">
        <v>137217.20000000001</v>
      </c>
      <c r="AC3" s="6">
        <f t="shared" ref="AC3:AC26" si="6">AD3*AT3</f>
        <v>3988319.8855797462</v>
      </c>
      <c r="AD3" s="19">
        <v>447808</v>
      </c>
      <c r="AE3" s="5">
        <v>228.59741138651557</v>
      </c>
      <c r="AF3" s="20">
        <v>3.2127146603502243</v>
      </c>
      <c r="AG3" s="20">
        <f t="shared" ref="AG3:AG26" si="7">AH3*AT3</f>
        <v>47345.046394476922</v>
      </c>
      <c r="AH3" s="16">
        <v>5315.8951999999999</v>
      </c>
      <c r="AI3" s="22">
        <v>678</v>
      </c>
      <c r="AJ3" s="5">
        <v>1302</v>
      </c>
      <c r="AK3" s="5">
        <v>64</v>
      </c>
      <c r="AL3" s="11">
        <v>198</v>
      </c>
      <c r="AM3" s="44">
        <v>3691</v>
      </c>
      <c r="AN3" s="44">
        <v>39</v>
      </c>
      <c r="AO3" s="44">
        <v>101.3</v>
      </c>
      <c r="AP3" s="44">
        <v>74.5</v>
      </c>
      <c r="AQ3" s="44">
        <v>135.5</v>
      </c>
      <c r="AR3" s="44">
        <v>73.3</v>
      </c>
      <c r="AS3" s="44">
        <v>514.70000000000005</v>
      </c>
      <c r="AT3" s="61">
        <v>8.9063167374851417</v>
      </c>
      <c r="AU3" s="1">
        <v>2000</v>
      </c>
      <c r="AV3" s="61">
        <v>2.0913382404356162</v>
      </c>
      <c r="AW3" s="1">
        <v>2012</v>
      </c>
    </row>
    <row r="4" spans="1:49" x14ac:dyDescent="0.3">
      <c r="A4" s="1">
        <v>2001</v>
      </c>
      <c r="B4" s="4">
        <v>143.19999999999999</v>
      </c>
      <c r="C4" s="4">
        <f t="shared" si="0"/>
        <v>83376.381772060296</v>
      </c>
      <c r="D4" s="5">
        <v>11308.56267779757</v>
      </c>
      <c r="E4" s="5">
        <f t="shared" si="1"/>
        <v>392004.48094906297</v>
      </c>
      <c r="F4" s="5">
        <v>53168.620999999999</v>
      </c>
      <c r="G4" s="6">
        <v>75.276228122764294</v>
      </c>
      <c r="H4" s="6">
        <v>4.1106713707938729</v>
      </c>
      <c r="I4" s="7">
        <v>2466</v>
      </c>
      <c r="J4" s="8">
        <v>52.3</v>
      </c>
      <c r="K4" s="8">
        <f t="shared" si="2"/>
        <v>20680.855519313198</v>
      </c>
      <c r="L4" s="5">
        <v>2805</v>
      </c>
      <c r="M4" s="6">
        <v>81.900000000000006</v>
      </c>
      <c r="N4" s="6">
        <v>7.7</v>
      </c>
      <c r="O4" s="6">
        <v>5.2</v>
      </c>
      <c r="P4" s="6">
        <v>5.2</v>
      </c>
      <c r="Q4" s="6">
        <v>0</v>
      </c>
      <c r="R4" s="9">
        <v>168.1</v>
      </c>
      <c r="S4" s="11">
        <v>247372</v>
      </c>
      <c r="T4" s="11">
        <v>34778</v>
      </c>
      <c r="U4" s="11">
        <f t="shared" si="3"/>
        <v>256413.11702341333</v>
      </c>
      <c r="V4" s="6">
        <v>125.5</v>
      </c>
      <c r="W4" s="6">
        <v>107</v>
      </c>
      <c r="X4" s="6">
        <f t="shared" si="4"/>
        <v>382026.64277713699</v>
      </c>
      <c r="Y4" s="6">
        <v>51815.3</v>
      </c>
      <c r="Z4" s="9">
        <v>104.6</v>
      </c>
      <c r="AA4" s="9">
        <f t="shared" si="5"/>
        <v>1346148.9576670725</v>
      </c>
      <c r="AB4" s="6">
        <v>182581.8</v>
      </c>
      <c r="AC4" s="6">
        <f t="shared" si="6"/>
        <v>3924400.617915676</v>
      </c>
      <c r="AD4" s="19">
        <v>532277</v>
      </c>
      <c r="AE4" s="5">
        <v>237.83392887527648</v>
      </c>
      <c r="AF4" s="20">
        <v>3.2284754126254889</v>
      </c>
      <c r="AG4" s="20">
        <f t="shared" si="7"/>
        <v>113299.39824469796</v>
      </c>
      <c r="AH4" s="16">
        <v>15367.1018</v>
      </c>
      <c r="AI4" s="22">
        <v>677</v>
      </c>
      <c r="AJ4" s="5">
        <v>1143</v>
      </c>
      <c r="AK4" s="5">
        <v>69</v>
      </c>
      <c r="AL4" s="11">
        <v>200</v>
      </c>
      <c r="AM4" s="44">
        <v>3665</v>
      </c>
      <c r="AN4" s="44">
        <v>37</v>
      </c>
      <c r="AO4" s="44">
        <v>100.2</v>
      </c>
      <c r="AP4" s="44">
        <v>74.7</v>
      </c>
      <c r="AQ4" s="44">
        <v>133.1</v>
      </c>
      <c r="AR4" s="44">
        <v>74.2</v>
      </c>
      <c r="AS4" s="44">
        <v>492.6</v>
      </c>
      <c r="AT4" s="61">
        <v>7.3728540175804627</v>
      </c>
      <c r="AU4" s="1">
        <v>2001</v>
      </c>
      <c r="AV4" s="61">
        <v>1.9903341054445352</v>
      </c>
      <c r="AW4" s="1">
        <v>2013</v>
      </c>
    </row>
    <row r="5" spans="1:49" x14ac:dyDescent="0.3">
      <c r="A5" s="1">
        <v>2002</v>
      </c>
      <c r="B5" s="4">
        <v>125.79350953895292</v>
      </c>
      <c r="C5" s="4">
        <f t="shared" si="0"/>
        <v>98780.551847948562</v>
      </c>
      <c r="D5" s="5">
        <v>16275.333516496759</v>
      </c>
      <c r="E5" s="5">
        <f t="shared" si="1"/>
        <v>461546.695579188</v>
      </c>
      <c r="F5" s="5">
        <v>76045.600712487692</v>
      </c>
      <c r="G5" s="6">
        <v>77.366948232733066</v>
      </c>
      <c r="H5" s="6">
        <v>3.4226612858652659</v>
      </c>
      <c r="I5" s="7">
        <v>2543</v>
      </c>
      <c r="J5" s="8">
        <v>56</v>
      </c>
      <c r="K5" s="8">
        <f t="shared" si="2"/>
        <v>21940.668347495561</v>
      </c>
      <c r="L5" s="5">
        <v>3615</v>
      </c>
      <c r="M5" s="6">
        <v>80.099999999999994</v>
      </c>
      <c r="N5" s="6">
        <v>8.3000000000000007</v>
      </c>
      <c r="O5" s="6">
        <v>6</v>
      </c>
      <c r="P5" s="6">
        <v>5.6</v>
      </c>
      <c r="Q5" s="6">
        <v>-8</v>
      </c>
      <c r="R5" s="9">
        <v>190.6</v>
      </c>
      <c r="S5" s="11">
        <v>275381</v>
      </c>
      <c r="T5" s="11">
        <v>24158</v>
      </c>
      <c r="U5" s="11">
        <f t="shared" si="3"/>
        <v>146623.14410478499</v>
      </c>
      <c r="V5" s="6">
        <v>88</v>
      </c>
      <c r="W5" s="6">
        <v>129.6</v>
      </c>
      <c r="X5" s="6">
        <f t="shared" si="4"/>
        <v>404301.27222671232</v>
      </c>
      <c r="Y5" s="6">
        <v>66613.7</v>
      </c>
      <c r="Z5" s="9">
        <v>117.5</v>
      </c>
      <c r="AA5" s="9">
        <f t="shared" si="5"/>
        <v>1429082.8245182466</v>
      </c>
      <c r="AB5" s="6">
        <v>235459.3</v>
      </c>
      <c r="AC5" s="6">
        <f t="shared" si="6"/>
        <v>4162068.9187552207</v>
      </c>
      <c r="AD5" s="19">
        <v>685753</v>
      </c>
      <c r="AE5" s="5">
        <v>259.75943840424628</v>
      </c>
      <c r="AF5" s="20">
        <v>3.4361356048283538</v>
      </c>
      <c r="AG5" s="20">
        <f t="shared" si="7"/>
        <v>65299.349189611705</v>
      </c>
      <c r="AH5" s="16">
        <v>10758.885900000001</v>
      </c>
      <c r="AI5" s="22">
        <v>669</v>
      </c>
      <c r="AJ5" s="5">
        <v>1197</v>
      </c>
      <c r="AK5" s="5">
        <v>69</v>
      </c>
      <c r="AL5" s="11">
        <v>203</v>
      </c>
      <c r="AM5" s="44">
        <v>3689</v>
      </c>
      <c r="AN5" s="44">
        <v>36</v>
      </c>
      <c r="AO5" s="44">
        <v>101.1</v>
      </c>
      <c r="AP5" s="44">
        <v>76.2</v>
      </c>
      <c r="AQ5" s="44">
        <v>130.69999999999999</v>
      </c>
      <c r="AR5" s="44">
        <v>73.599999999999994</v>
      </c>
      <c r="AS5" s="44">
        <v>465.2</v>
      </c>
      <c r="AT5" s="61">
        <v>6.0693411749641939</v>
      </c>
      <c r="AU5" s="1">
        <v>2002</v>
      </c>
      <c r="AV5" s="61">
        <v>1.8644166776315734</v>
      </c>
      <c r="AW5" s="1">
        <v>2014</v>
      </c>
    </row>
    <row r="6" spans="1:49" x14ac:dyDescent="0.3">
      <c r="A6" s="1">
        <v>2003</v>
      </c>
      <c r="B6" s="4">
        <v>135.47641449078432</v>
      </c>
      <c r="C6" s="4">
        <f t="shared" si="0"/>
        <v>125639.37258251221</v>
      </c>
      <c r="D6" s="5">
        <v>23969.032157496869</v>
      </c>
      <c r="E6" s="5">
        <f t="shared" si="1"/>
        <v>585386.00054130552</v>
      </c>
      <c r="F6" s="5">
        <v>111677.85689401023</v>
      </c>
      <c r="G6" s="6">
        <v>76.069106670394078</v>
      </c>
      <c r="H6" s="6">
        <v>4.2290417006770706</v>
      </c>
      <c r="I6" s="7">
        <v>2512</v>
      </c>
      <c r="J6" s="8">
        <v>65</v>
      </c>
      <c r="K6" s="8">
        <f t="shared" si="2"/>
        <v>23058.402874127121</v>
      </c>
      <c r="L6" s="5">
        <v>4399</v>
      </c>
      <c r="M6" s="6">
        <v>64.5</v>
      </c>
      <c r="N6" s="6">
        <v>9.3000000000000007</v>
      </c>
      <c r="O6" s="6">
        <v>6.4</v>
      </c>
      <c r="P6" s="6">
        <v>19.8</v>
      </c>
      <c r="Q6" s="6">
        <v>-0.5</v>
      </c>
      <c r="R6" s="9">
        <v>199.8</v>
      </c>
      <c r="S6" s="11">
        <v>305145</v>
      </c>
      <c r="T6" s="11">
        <v>37484</v>
      </c>
      <c r="U6" s="11">
        <f t="shared" si="3"/>
        <v>196481.28514066403</v>
      </c>
      <c r="V6" s="6">
        <v>280</v>
      </c>
      <c r="W6" s="6">
        <v>111.4</v>
      </c>
      <c r="X6" s="6">
        <f t="shared" si="4"/>
        <v>404857.12081598799</v>
      </c>
      <c r="Y6" s="6">
        <v>77237.2</v>
      </c>
      <c r="Z6" s="9">
        <v>108.5</v>
      </c>
      <c r="AA6" s="9">
        <f t="shared" si="5"/>
        <v>1495805.7756248803</v>
      </c>
      <c r="AB6" s="6">
        <v>285364.5</v>
      </c>
      <c r="AC6" s="6">
        <f t="shared" si="6"/>
        <v>4965209.5545584327</v>
      </c>
      <c r="AD6" s="19">
        <v>947245</v>
      </c>
      <c r="AE6" s="5">
        <v>377.29199683382927</v>
      </c>
      <c r="AF6" s="20">
        <v>5.0083103396765489</v>
      </c>
      <c r="AG6" s="20">
        <f t="shared" si="7"/>
        <v>34779.376419440661</v>
      </c>
      <c r="AH6" s="16">
        <v>6635.0855999999994</v>
      </c>
      <c r="AI6" s="24">
        <v>602.80010370754462</v>
      </c>
      <c r="AJ6" s="5">
        <v>1316</v>
      </c>
      <c r="AK6" s="5">
        <v>92</v>
      </c>
      <c r="AL6" s="11">
        <v>203</v>
      </c>
      <c r="AM6" s="44">
        <v>4037</v>
      </c>
      <c r="AN6" s="44">
        <v>33</v>
      </c>
      <c r="AO6" s="44">
        <v>99.5</v>
      </c>
      <c r="AP6" s="44">
        <v>77.3</v>
      </c>
      <c r="AQ6" s="44">
        <v>131.6</v>
      </c>
      <c r="AR6" s="44">
        <v>69.915826168283886</v>
      </c>
      <c r="AS6" s="44">
        <v>436.2</v>
      </c>
      <c r="AT6" s="61">
        <v>5.2417374117133715</v>
      </c>
      <c r="AU6" s="1">
        <v>2003</v>
      </c>
      <c r="AV6" s="61">
        <v>1.7291389488377877</v>
      </c>
      <c r="AW6" s="1">
        <v>2015</v>
      </c>
    </row>
    <row r="7" spans="1:49" x14ac:dyDescent="0.3">
      <c r="A7" s="1">
        <v>2004</v>
      </c>
      <c r="B7" s="4">
        <v>93.648404891213076</v>
      </c>
      <c r="C7" s="4">
        <f t="shared" si="0"/>
        <v>116184.35186038505</v>
      </c>
      <c r="D7" s="5">
        <v>25193.738004372815</v>
      </c>
      <c r="E7" s="5">
        <f t="shared" si="1"/>
        <v>543076.33326433087</v>
      </c>
      <c r="F7" s="5">
        <v>117762.18257927168</v>
      </c>
      <c r="G7" s="6">
        <v>77.730403700303171</v>
      </c>
      <c r="H7" s="6">
        <v>2.7496479075760747</v>
      </c>
      <c r="I7" s="7">
        <v>2564</v>
      </c>
      <c r="J7" s="8">
        <v>71.8</v>
      </c>
      <c r="K7" s="8">
        <f t="shared" si="2"/>
        <v>26987.294500282685</v>
      </c>
      <c r="L7" s="5">
        <v>5852</v>
      </c>
      <c r="M7" s="6">
        <v>64.599999999999994</v>
      </c>
      <c r="N7" s="6">
        <v>9.1</v>
      </c>
      <c r="O7" s="6">
        <v>5.5</v>
      </c>
      <c r="P7" s="6">
        <v>20.8</v>
      </c>
      <c r="Q7" s="6">
        <v>1.9</v>
      </c>
      <c r="R7" s="9">
        <v>205.2</v>
      </c>
      <c r="S7" s="11">
        <v>333501</v>
      </c>
      <c r="T7" s="11">
        <v>55650</v>
      </c>
      <c r="U7" s="11">
        <f t="shared" si="3"/>
        <v>256637.54937469776</v>
      </c>
      <c r="V7" s="6">
        <v>160</v>
      </c>
      <c r="W7" s="6">
        <v>113.7</v>
      </c>
      <c r="X7" s="6">
        <f t="shared" si="4"/>
        <v>439461.25121495867</v>
      </c>
      <c r="Y7" s="6">
        <v>95294</v>
      </c>
      <c r="Z7" s="9">
        <v>107.1</v>
      </c>
      <c r="AA7" s="9">
        <f t="shared" si="5"/>
        <v>1748869.8386676866</v>
      </c>
      <c r="AB7" s="6">
        <v>379229.8</v>
      </c>
      <c r="AC7" s="6">
        <f t="shared" si="6"/>
        <v>4734706.840159215</v>
      </c>
      <c r="AD7" s="19">
        <v>1026687</v>
      </c>
      <c r="AE7" s="5">
        <v>434.7208458914601</v>
      </c>
      <c r="AF7" s="6">
        <v>5.9162255276980504</v>
      </c>
      <c r="AG7" s="20">
        <f t="shared" si="7"/>
        <v>35676.251487681147</v>
      </c>
      <c r="AH7" s="16">
        <v>7736.1376</v>
      </c>
      <c r="AI7" s="24">
        <v>575.72700215477767</v>
      </c>
      <c r="AJ7" s="5">
        <v>1473</v>
      </c>
      <c r="AK7" s="5">
        <v>78</v>
      </c>
      <c r="AL7" s="11">
        <v>203</v>
      </c>
      <c r="AM7" s="44">
        <v>3843</v>
      </c>
      <c r="AN7" s="44">
        <v>32</v>
      </c>
      <c r="AO7" s="44">
        <v>97.5</v>
      </c>
      <c r="AP7" s="44">
        <v>78.8</v>
      </c>
      <c r="AQ7" s="44">
        <v>134.6</v>
      </c>
      <c r="AR7" s="44">
        <v>67.596188141442653</v>
      </c>
      <c r="AS7" s="44">
        <v>408.2</v>
      </c>
      <c r="AT7" s="61">
        <v>4.6116361073620444</v>
      </c>
      <c r="AU7" s="1">
        <v>2004</v>
      </c>
      <c r="AV7" s="61">
        <v>1.4966442541921556</v>
      </c>
      <c r="AW7" s="1">
        <v>2016</v>
      </c>
    </row>
    <row r="8" spans="1:49" x14ac:dyDescent="0.3">
      <c r="A8" s="1">
        <v>2005</v>
      </c>
      <c r="B8" s="10">
        <v>107.1</v>
      </c>
      <c r="C8" s="4">
        <f t="shared" si="0"/>
        <v>138799.96220299721</v>
      </c>
      <c r="D8" s="11">
        <v>33375</v>
      </c>
      <c r="E8" s="5">
        <f t="shared" si="1"/>
        <v>652324.472550979</v>
      </c>
      <c r="F8" s="5">
        <v>156854</v>
      </c>
      <c r="G8" s="6">
        <v>78.091395422139229</v>
      </c>
      <c r="H8" s="6">
        <v>2.2095201691996817</v>
      </c>
      <c r="I8" s="7">
        <v>2620</v>
      </c>
      <c r="J8" s="12">
        <v>73.900000000000006</v>
      </c>
      <c r="K8" s="8">
        <f t="shared" si="2"/>
        <v>32060.192018663834</v>
      </c>
      <c r="L8" s="5">
        <v>7709</v>
      </c>
      <c r="M8" s="6">
        <v>62.9</v>
      </c>
      <c r="N8" s="6">
        <v>10.1</v>
      </c>
      <c r="O8" s="6">
        <v>4.4000000000000004</v>
      </c>
      <c r="P8" s="6">
        <v>22.6</v>
      </c>
      <c r="Q8" s="6">
        <v>3.6</v>
      </c>
      <c r="R8" s="9">
        <v>213.7</v>
      </c>
      <c r="S8" s="11">
        <v>368991</v>
      </c>
      <c r="T8" s="11">
        <v>62718</v>
      </c>
      <c r="U8" s="11">
        <f t="shared" si="3"/>
        <v>260831.64133176269</v>
      </c>
      <c r="V8" s="11">
        <v>340</v>
      </c>
      <c r="W8" s="6">
        <v>105.7</v>
      </c>
      <c r="X8" s="6">
        <f t="shared" si="4"/>
        <v>593537.74998257554</v>
      </c>
      <c r="Y8" s="6">
        <v>142718.5</v>
      </c>
      <c r="Z8" s="9">
        <v>108.3</v>
      </c>
      <c r="AA8" s="9">
        <f t="shared" si="5"/>
        <v>2150914.4980238243</v>
      </c>
      <c r="AB8" s="6">
        <v>517195.9</v>
      </c>
      <c r="AC8" s="6">
        <f t="shared" si="6"/>
        <v>4624540.2597797355</v>
      </c>
      <c r="AD8" s="19">
        <v>1111989</v>
      </c>
      <c r="AE8" s="11">
        <v>484</v>
      </c>
      <c r="AF8" s="6">
        <v>7.1</v>
      </c>
      <c r="AG8" s="20">
        <f t="shared" si="7"/>
        <v>43296.185159708431</v>
      </c>
      <c r="AH8" s="16">
        <v>10410.739</v>
      </c>
      <c r="AI8" s="22">
        <v>563</v>
      </c>
      <c r="AJ8" s="5">
        <v>1399</v>
      </c>
      <c r="AK8" s="5">
        <v>78</v>
      </c>
      <c r="AL8" s="11">
        <v>152</v>
      </c>
      <c r="AM8" s="44">
        <v>3573</v>
      </c>
      <c r="AN8" s="44">
        <v>28</v>
      </c>
      <c r="AO8" s="44">
        <v>97.6</v>
      </c>
      <c r="AP8" s="44">
        <v>80</v>
      </c>
      <c r="AQ8" s="44">
        <v>139.6</v>
      </c>
      <c r="AR8" s="44">
        <v>66.900000000000006</v>
      </c>
      <c r="AS8" s="44">
        <v>382.2</v>
      </c>
      <c r="AT8" s="61">
        <v>4.1588003656328754</v>
      </c>
      <c r="AU8" s="1">
        <v>2005</v>
      </c>
      <c r="AV8" s="61">
        <v>1.3981784385682436</v>
      </c>
      <c r="AW8" s="1">
        <v>2017</v>
      </c>
    </row>
    <row r="9" spans="1:49" x14ac:dyDescent="0.3">
      <c r="A9" s="1">
        <v>2006</v>
      </c>
      <c r="B9" s="13">
        <v>113.70196681792368</v>
      </c>
      <c r="C9" s="4">
        <f t="shared" si="0"/>
        <v>151117.00093423165</v>
      </c>
      <c r="D9" s="14">
        <v>40946.1</v>
      </c>
      <c r="E9" s="5">
        <f t="shared" si="1"/>
        <v>714814.60585129738</v>
      </c>
      <c r="F9" s="5">
        <v>193683.50451439974</v>
      </c>
      <c r="G9" s="6">
        <v>80.360246491704487</v>
      </c>
      <c r="H9" s="6">
        <v>2.322806260322781</v>
      </c>
      <c r="I9" s="7">
        <v>2725</v>
      </c>
      <c r="J9" s="12">
        <v>80</v>
      </c>
      <c r="K9" s="8">
        <f t="shared" si="2"/>
        <v>34614.44073457933</v>
      </c>
      <c r="L9" s="5">
        <v>9379</v>
      </c>
      <c r="M9" s="6">
        <v>68.5</v>
      </c>
      <c r="N9" s="6">
        <v>10.8</v>
      </c>
      <c r="O9" s="6">
        <v>5.5</v>
      </c>
      <c r="P9" s="6">
        <v>15.2</v>
      </c>
      <c r="Q9" s="6">
        <v>-0.8</v>
      </c>
      <c r="R9" s="9">
        <v>232.6</v>
      </c>
      <c r="S9" s="11">
        <v>393399</v>
      </c>
      <c r="T9" s="11">
        <v>206243</v>
      </c>
      <c r="U9" s="11">
        <f t="shared" si="3"/>
        <v>761167.08608826576</v>
      </c>
      <c r="V9" s="6">
        <v>85.7</v>
      </c>
      <c r="W9" s="6">
        <v>98</v>
      </c>
      <c r="X9" s="6">
        <f t="shared" si="4"/>
        <v>804922.11594400229</v>
      </c>
      <c r="Y9" s="6">
        <v>218098.7</v>
      </c>
      <c r="Z9" s="9">
        <v>108.3</v>
      </c>
      <c r="AA9" s="9">
        <f t="shared" si="5"/>
        <v>2357602.8816149528</v>
      </c>
      <c r="AB9" s="6">
        <v>638807.30000000005</v>
      </c>
      <c r="AC9" s="6">
        <f t="shared" si="6"/>
        <v>5242200.0128458925</v>
      </c>
      <c r="AD9" s="19">
        <v>1420407</v>
      </c>
      <c r="AE9" s="5">
        <v>502.2407076907075</v>
      </c>
      <c r="AF9" s="6">
        <v>7.2358432050047758</v>
      </c>
      <c r="AG9" s="20">
        <f t="shared" si="7"/>
        <v>153897.52334061102</v>
      </c>
      <c r="AH9" s="16">
        <v>41699.5</v>
      </c>
      <c r="AI9" s="24">
        <v>517.61003018475742</v>
      </c>
      <c r="AJ9" s="5">
        <v>1585</v>
      </c>
      <c r="AK9" s="5">
        <v>86</v>
      </c>
      <c r="AL9" s="11">
        <v>202</v>
      </c>
      <c r="AM9" s="44">
        <v>3861.8858137559455</v>
      </c>
      <c r="AN9" s="44">
        <v>27</v>
      </c>
      <c r="AO9" s="44">
        <v>97.5</v>
      </c>
      <c r="AP9" s="44">
        <v>80.400000000000006</v>
      </c>
      <c r="AQ9" s="44">
        <v>146.80000000000001</v>
      </c>
      <c r="AR9" s="44">
        <v>67.751270370934463</v>
      </c>
      <c r="AS9" s="44">
        <v>361.6</v>
      </c>
      <c r="AT9" s="61">
        <v>3.6906323418892559</v>
      </c>
      <c r="AU9" s="1">
        <v>2006</v>
      </c>
      <c r="AV9" s="61">
        <v>1.34850836614212</v>
      </c>
      <c r="AW9" s="1">
        <v>2018</v>
      </c>
    </row>
    <row r="10" spans="1:49" x14ac:dyDescent="0.3">
      <c r="A10" s="1">
        <v>2007</v>
      </c>
      <c r="B10" s="13">
        <v>141.91331060364072</v>
      </c>
      <c r="C10" s="4">
        <f t="shared" si="0"/>
        <v>214705.09305896287</v>
      </c>
      <c r="D10" s="14">
        <v>63800.5</v>
      </c>
      <c r="E10" s="5">
        <f t="shared" si="1"/>
        <v>1021181.8890037247</v>
      </c>
      <c r="F10" s="5">
        <v>303448.3913778885</v>
      </c>
      <c r="G10" s="6">
        <v>81.152444277763408</v>
      </c>
      <c r="H10" s="6">
        <v>2.2323562460270874</v>
      </c>
      <c r="I10" s="7">
        <v>2812</v>
      </c>
      <c r="J10" s="12">
        <v>84.3</v>
      </c>
      <c r="K10" s="8">
        <f t="shared" si="2"/>
        <v>39474.467152790879</v>
      </c>
      <c r="L10" s="5">
        <v>11730</v>
      </c>
      <c r="M10" s="6">
        <v>72.3</v>
      </c>
      <c r="N10" s="6">
        <v>12.2</v>
      </c>
      <c r="O10" s="6">
        <v>4.5</v>
      </c>
      <c r="P10" s="6">
        <v>11</v>
      </c>
      <c r="Q10" s="6">
        <v>-4.5999999999999996</v>
      </c>
      <c r="R10" s="9">
        <v>255</v>
      </c>
      <c r="S10" s="11">
        <v>414080</v>
      </c>
      <c r="T10" s="11">
        <v>284956</v>
      </c>
      <c r="U10" s="11">
        <f t="shared" si="3"/>
        <v>958950.23546382587</v>
      </c>
      <c r="V10" s="6">
        <v>89</v>
      </c>
      <c r="W10" s="6">
        <v>110.1</v>
      </c>
      <c r="X10" s="6">
        <f t="shared" si="4"/>
        <v>946533.10938536318</v>
      </c>
      <c r="Y10" s="6">
        <v>281266.2</v>
      </c>
      <c r="Z10" s="9">
        <v>113.1</v>
      </c>
      <c r="AA10" s="9">
        <f t="shared" si="5"/>
        <v>2730529.6591317477</v>
      </c>
      <c r="AB10" s="6">
        <v>811388.1</v>
      </c>
      <c r="AC10" s="6">
        <f t="shared" si="6"/>
        <v>5856136.4772044215</v>
      </c>
      <c r="AD10" s="19">
        <v>1740175</v>
      </c>
      <c r="AE10" s="5">
        <v>554.41237103431376</v>
      </c>
      <c r="AF10" s="6">
        <v>8.0002825781131897</v>
      </c>
      <c r="AG10" s="20">
        <f t="shared" si="7"/>
        <v>69442.452509955649</v>
      </c>
      <c r="AH10" s="16">
        <v>20635.109899999999</v>
      </c>
      <c r="AI10" s="24">
        <v>511.73130185460809</v>
      </c>
      <c r="AJ10" s="5">
        <v>1714</v>
      </c>
      <c r="AK10" s="5">
        <v>79</v>
      </c>
      <c r="AL10" s="11">
        <v>180</v>
      </c>
      <c r="AM10" s="44">
        <v>3849.8744903239071</v>
      </c>
      <c r="AN10" s="44">
        <v>26</v>
      </c>
      <c r="AO10" s="44">
        <v>94.9</v>
      </c>
      <c r="AP10" s="44">
        <v>79.099999999999994</v>
      </c>
      <c r="AQ10" s="44">
        <v>157.4</v>
      </c>
      <c r="AR10" s="44">
        <v>71.608010481684346</v>
      </c>
      <c r="AS10" s="44">
        <v>347.8</v>
      </c>
      <c r="AT10" s="61">
        <v>3.3652572167767159</v>
      </c>
      <c r="AU10" s="1">
        <v>2007</v>
      </c>
      <c r="AV10" s="61">
        <v>1.3107801117038269</v>
      </c>
      <c r="AW10" s="1">
        <v>2019</v>
      </c>
    </row>
    <row r="11" spans="1:49" x14ac:dyDescent="0.3">
      <c r="A11" s="1">
        <v>2008</v>
      </c>
      <c r="B11" s="4">
        <v>101.5</v>
      </c>
      <c r="C11" s="4">
        <f t="shared" si="0"/>
        <v>240578.17627626652</v>
      </c>
      <c r="D11" s="5">
        <v>77928</v>
      </c>
      <c r="E11" s="5">
        <f t="shared" si="1"/>
        <v>1150399.4696778967</v>
      </c>
      <c r="F11" s="5">
        <v>372637</v>
      </c>
      <c r="G11" s="6">
        <v>81.995457019459096</v>
      </c>
      <c r="H11" s="6">
        <v>2.1424505926299293</v>
      </c>
      <c r="I11" s="7">
        <v>2809</v>
      </c>
      <c r="J11" s="12">
        <v>84.7</v>
      </c>
      <c r="K11" s="8">
        <f t="shared" si="2"/>
        <v>46057.717532409661</v>
      </c>
      <c r="L11" s="5">
        <v>14919</v>
      </c>
      <c r="M11" s="6">
        <v>88</v>
      </c>
      <c r="N11" s="6">
        <v>18.5</v>
      </c>
      <c r="O11" s="6">
        <v>13.1</v>
      </c>
      <c r="P11" s="6">
        <v>-19.600000000000001</v>
      </c>
      <c r="Q11" s="6">
        <v>-28.3</v>
      </c>
      <c r="R11" s="9">
        <v>272.2</v>
      </c>
      <c r="S11" s="11">
        <v>429540</v>
      </c>
      <c r="T11" s="11">
        <v>270133</v>
      </c>
      <c r="U11" s="11">
        <f t="shared" si="3"/>
        <v>833950.627400122</v>
      </c>
      <c r="V11" s="6">
        <v>84.2</v>
      </c>
      <c r="W11" s="6">
        <v>103.6</v>
      </c>
      <c r="X11" s="6">
        <f t="shared" si="4"/>
        <v>1059270.3903173206</v>
      </c>
      <c r="Y11" s="6">
        <v>343118.5</v>
      </c>
      <c r="Z11" s="9">
        <v>109.3</v>
      </c>
      <c r="AA11" s="9">
        <f t="shared" si="5"/>
        <v>3175221.6399199762</v>
      </c>
      <c r="AB11" s="6">
        <v>1028516.7</v>
      </c>
      <c r="AC11" s="6">
        <f t="shared" si="6"/>
        <v>6191461.2634277595</v>
      </c>
      <c r="AD11" s="19">
        <v>2005536</v>
      </c>
      <c r="AE11" s="5">
        <v>671.63147516546633</v>
      </c>
      <c r="AF11" s="6">
        <v>10.048540410294139</v>
      </c>
      <c r="AG11" s="20">
        <f t="shared" si="7"/>
        <v>66729.053416505136</v>
      </c>
      <c r="AH11" s="16">
        <v>21614.851999999999</v>
      </c>
      <c r="AI11" s="24">
        <v>523.73703649408208</v>
      </c>
      <c r="AJ11" s="5">
        <v>1737</v>
      </c>
      <c r="AK11" s="5">
        <v>106</v>
      </c>
      <c r="AL11" s="11">
        <v>84</v>
      </c>
      <c r="AM11" s="44">
        <v>3762.9012907093984</v>
      </c>
      <c r="AN11" s="44">
        <v>25</v>
      </c>
      <c r="AO11" s="44">
        <v>91.8</v>
      </c>
      <c r="AP11" s="44">
        <v>80.900000000000006</v>
      </c>
      <c r="AQ11" s="44">
        <v>163.69999999999999</v>
      </c>
      <c r="AR11" s="44">
        <v>72.036408610953401</v>
      </c>
      <c r="AS11" s="44">
        <v>343.1</v>
      </c>
      <c r="AT11" s="61">
        <v>3.0871853027957412</v>
      </c>
      <c r="AU11" s="1">
        <v>2008</v>
      </c>
      <c r="AV11" s="61">
        <v>1.2546908245513924</v>
      </c>
      <c r="AW11" s="1">
        <v>2020</v>
      </c>
    </row>
    <row r="12" spans="1:49" x14ac:dyDescent="0.3">
      <c r="A12" s="1">
        <v>2009</v>
      </c>
      <c r="B12" s="4">
        <v>83.3</v>
      </c>
      <c r="C12" s="4">
        <f t="shared" si="0"/>
        <v>187678.28337050375</v>
      </c>
      <c r="D12" s="5">
        <v>69371</v>
      </c>
      <c r="E12" s="5">
        <f t="shared" si="1"/>
        <v>903813.33466027118</v>
      </c>
      <c r="F12" s="5">
        <v>334074</v>
      </c>
      <c r="G12" s="6">
        <v>80.546469267756251</v>
      </c>
      <c r="H12" s="6">
        <v>4.1741578742933525</v>
      </c>
      <c r="I12" s="7">
        <v>2847</v>
      </c>
      <c r="J12" s="12">
        <v>90.1</v>
      </c>
      <c r="K12" s="8">
        <f t="shared" si="2"/>
        <v>43151.585241088273</v>
      </c>
      <c r="L12" s="5">
        <v>15950</v>
      </c>
      <c r="M12" s="6">
        <v>74</v>
      </c>
      <c r="N12" s="6">
        <v>13.8</v>
      </c>
      <c r="O12" s="6">
        <v>6.4</v>
      </c>
      <c r="P12" s="6">
        <v>5.8</v>
      </c>
      <c r="Q12" s="6">
        <v>-15.4</v>
      </c>
      <c r="R12" s="9">
        <v>277.8</v>
      </c>
      <c r="S12" s="11">
        <v>450901</v>
      </c>
      <c r="T12" s="11">
        <v>258910</v>
      </c>
      <c r="U12" s="11">
        <f t="shared" si="3"/>
        <v>700462.50374734576</v>
      </c>
      <c r="V12" s="6">
        <v>35.9</v>
      </c>
      <c r="W12" s="6">
        <v>83.4</v>
      </c>
      <c r="X12" s="6">
        <f t="shared" si="4"/>
        <v>865186.57865527819</v>
      </c>
      <c r="Y12" s="6">
        <v>319796.5</v>
      </c>
      <c r="Z12" s="9">
        <v>94.3</v>
      </c>
      <c r="AA12" s="9">
        <f t="shared" si="5"/>
        <v>2914367.7058698074</v>
      </c>
      <c r="AB12" s="6">
        <v>1077229.6000000001</v>
      </c>
      <c r="AC12" s="6">
        <f t="shared" si="6"/>
        <v>6260510.444204798</v>
      </c>
      <c r="AD12" s="19">
        <v>2314055</v>
      </c>
      <c r="AE12" s="5">
        <v>540.56119355379951</v>
      </c>
      <c r="AF12" s="6">
        <v>8.0963740537271978</v>
      </c>
      <c r="AG12" s="20">
        <f t="shared" si="7"/>
        <v>133366.36873848463</v>
      </c>
      <c r="AH12" s="16">
        <v>49295.838600000003</v>
      </c>
      <c r="AI12" s="24">
        <v>506.17392647769725</v>
      </c>
      <c r="AJ12" s="5">
        <v>1666</v>
      </c>
      <c r="AK12" s="5">
        <v>122</v>
      </c>
      <c r="AL12" s="11">
        <v>134</v>
      </c>
      <c r="AM12" s="44">
        <v>3539.5212694383586</v>
      </c>
      <c r="AN12" s="44">
        <v>22</v>
      </c>
      <c r="AO12" s="44">
        <v>91.8</v>
      </c>
      <c r="AP12" s="44">
        <v>83.2</v>
      </c>
      <c r="AQ12" s="44">
        <v>169.2</v>
      </c>
      <c r="AR12" s="44">
        <v>72.08474244192486</v>
      </c>
      <c r="AS12" s="44">
        <v>345</v>
      </c>
      <c r="AT12" s="61">
        <v>2.7054285417610204</v>
      </c>
      <c r="AU12" s="1">
        <v>2009</v>
      </c>
      <c r="AV12" s="61">
        <v>1.2136493268558686</v>
      </c>
      <c r="AW12" s="1">
        <v>2021</v>
      </c>
    </row>
    <row r="13" spans="1:49" x14ac:dyDescent="0.3">
      <c r="A13" s="1">
        <v>2010</v>
      </c>
      <c r="B13" s="10">
        <v>113.9</v>
      </c>
      <c r="C13" s="4">
        <f t="shared" si="0"/>
        <v>199956.91241686977</v>
      </c>
      <c r="D13" s="11">
        <v>82518</v>
      </c>
      <c r="E13" s="5">
        <f t="shared" si="1"/>
        <v>973001.02694118419</v>
      </c>
      <c r="F13" s="5">
        <v>401537</v>
      </c>
      <c r="G13" s="6">
        <v>80.128245476887756</v>
      </c>
      <c r="H13" s="6">
        <v>2.7696437170393882</v>
      </c>
      <c r="I13" s="7">
        <v>2807</v>
      </c>
      <c r="J13" s="12">
        <v>93.2</v>
      </c>
      <c r="K13" s="8">
        <f t="shared" si="2"/>
        <v>43481.747453989563</v>
      </c>
      <c r="L13" s="5">
        <v>17944</v>
      </c>
      <c r="M13" s="6">
        <v>72.3</v>
      </c>
      <c r="N13" s="6">
        <v>12.3</v>
      </c>
      <c r="O13" s="6">
        <v>7.1</v>
      </c>
      <c r="P13" s="6">
        <v>8.3000000000000007</v>
      </c>
      <c r="Q13" s="6">
        <v>-10.5</v>
      </c>
      <c r="R13" s="9">
        <v>281</v>
      </c>
      <c r="S13" s="11">
        <v>374459</v>
      </c>
      <c r="T13" s="11">
        <v>347161</v>
      </c>
      <c r="U13" s="11">
        <f t="shared" si="3"/>
        <v>841237.56842813594</v>
      </c>
      <c r="V13" s="11">
        <v>145.6</v>
      </c>
      <c r="W13" s="6">
        <v>107.8</v>
      </c>
      <c r="X13" s="6">
        <f t="shared" si="4"/>
        <v>852016.16633551952</v>
      </c>
      <c r="Y13" s="6">
        <v>351609.1</v>
      </c>
      <c r="Z13" s="9">
        <v>105.5</v>
      </c>
      <c r="AA13" s="9">
        <f t="shared" si="5"/>
        <v>2981915.6735912571</v>
      </c>
      <c r="AB13" s="6">
        <v>1230573.7</v>
      </c>
      <c r="AC13" s="6">
        <f t="shared" si="6"/>
        <v>6387355.7802693024</v>
      </c>
      <c r="AD13" s="19">
        <v>2635927</v>
      </c>
      <c r="AE13" s="11">
        <v>546</v>
      </c>
      <c r="AF13" s="6">
        <v>8.8000000000000007</v>
      </c>
      <c r="AG13" s="20">
        <f t="shared" si="7"/>
        <v>204696.19026297503</v>
      </c>
      <c r="AH13" s="16">
        <v>84473.8</v>
      </c>
      <c r="AI13" s="22">
        <v>517</v>
      </c>
      <c r="AJ13" s="5">
        <v>1573</v>
      </c>
      <c r="AK13" s="5">
        <v>140</v>
      </c>
      <c r="AL13" s="11">
        <v>346</v>
      </c>
      <c r="AM13" s="44">
        <v>3669</v>
      </c>
      <c r="AN13" s="44">
        <v>20</v>
      </c>
      <c r="AO13" s="44">
        <v>89.3</v>
      </c>
      <c r="AP13" s="44">
        <v>84.8</v>
      </c>
      <c r="AQ13" s="44">
        <v>177.7</v>
      </c>
      <c r="AR13" s="44">
        <v>75.2</v>
      </c>
      <c r="AS13" s="44">
        <v>350.9</v>
      </c>
      <c r="AT13" s="61">
        <v>2.4231914541902344</v>
      </c>
      <c r="AU13" s="1">
        <v>2010</v>
      </c>
      <c r="AV13" s="61">
        <v>1.1374998969267152</v>
      </c>
      <c r="AW13" s="1">
        <v>2022</v>
      </c>
    </row>
    <row r="14" spans="1:49" x14ac:dyDescent="0.3">
      <c r="A14" s="1">
        <v>2011</v>
      </c>
      <c r="B14" s="10">
        <v>87.133128044315612</v>
      </c>
      <c r="C14" s="4">
        <f t="shared" si="0"/>
        <v>165535.64734145399</v>
      </c>
      <c r="D14" s="5">
        <v>72992.100000000006</v>
      </c>
      <c r="E14" s="5">
        <f t="shared" si="1"/>
        <v>817263.10328302777</v>
      </c>
      <c r="F14" s="5">
        <v>360368</v>
      </c>
      <c r="G14" s="6">
        <v>80.521630718594821</v>
      </c>
      <c r="H14" s="6">
        <v>2.0842344332220795</v>
      </c>
      <c r="I14" s="7">
        <v>2858</v>
      </c>
      <c r="J14" s="12">
        <v>91.4</v>
      </c>
      <c r="K14" s="8">
        <f t="shared" si="2"/>
        <v>44821.926401028286</v>
      </c>
      <c r="L14" s="5">
        <v>19764</v>
      </c>
      <c r="M14" s="6">
        <v>75.8</v>
      </c>
      <c r="N14" s="6">
        <v>13.1</v>
      </c>
      <c r="O14" s="6">
        <v>10.1</v>
      </c>
      <c r="P14" s="6">
        <v>1</v>
      </c>
      <c r="Q14" s="6">
        <v>-16</v>
      </c>
      <c r="R14" s="9">
        <v>287.60251137027439</v>
      </c>
      <c r="S14" s="11">
        <v>367457</v>
      </c>
      <c r="T14" s="11">
        <v>495698</v>
      </c>
      <c r="U14" s="11">
        <f t="shared" si="3"/>
        <v>1124172.195564507</v>
      </c>
      <c r="V14" s="11">
        <v>116.3</v>
      </c>
      <c r="W14" s="6">
        <v>114.6</v>
      </c>
      <c r="X14" s="6">
        <f t="shared" si="4"/>
        <v>919902.91081292753</v>
      </c>
      <c r="Y14" s="6">
        <v>405626.5</v>
      </c>
      <c r="Z14" s="9">
        <v>108.3</v>
      </c>
      <c r="AA14" s="9">
        <f t="shared" si="5"/>
        <v>3132113.7626201981</v>
      </c>
      <c r="AB14" s="6">
        <v>1381089.6</v>
      </c>
      <c r="AC14" s="6">
        <f t="shared" si="6"/>
        <v>7356447.429494977</v>
      </c>
      <c r="AD14" s="19">
        <v>3243788</v>
      </c>
      <c r="AE14" s="11">
        <v>548</v>
      </c>
      <c r="AF14" s="6">
        <v>9.1</v>
      </c>
      <c r="AG14" s="20">
        <f t="shared" si="7"/>
        <v>299128.09203682805</v>
      </c>
      <c r="AH14" s="16">
        <v>131899.00759999998</v>
      </c>
      <c r="AI14" s="25">
        <v>548.96821603052831</v>
      </c>
      <c r="AJ14" s="5">
        <v>1649</v>
      </c>
      <c r="AK14" s="5">
        <v>171</v>
      </c>
      <c r="AL14" s="11">
        <v>238</v>
      </c>
      <c r="AM14" s="44">
        <v>3911.3200515284339</v>
      </c>
      <c r="AN14" s="44">
        <v>20</v>
      </c>
      <c r="AO14" s="44">
        <v>94.4</v>
      </c>
      <c r="AP14" s="44">
        <v>86.8</v>
      </c>
      <c r="AQ14" s="44">
        <v>189</v>
      </c>
      <c r="AR14" s="44">
        <v>78.210933231793121</v>
      </c>
      <c r="AS14" s="44">
        <v>365</v>
      </c>
      <c r="AT14" s="61">
        <v>2.2678570330413015</v>
      </c>
      <c r="AU14" s="1">
        <v>2011</v>
      </c>
      <c r="AV14" s="61">
        <v>1</v>
      </c>
      <c r="AW14" s="1">
        <v>2023</v>
      </c>
    </row>
    <row r="15" spans="1:49" x14ac:dyDescent="0.3">
      <c r="A15" s="1">
        <v>2012</v>
      </c>
      <c r="B15" s="10">
        <v>92.616352136788407</v>
      </c>
      <c r="C15" s="4">
        <f t="shared" si="0"/>
        <v>146599.25537952795</v>
      </c>
      <c r="D15" s="5">
        <v>70098.3</v>
      </c>
      <c r="E15" s="5">
        <f t="shared" si="1"/>
        <v>736393.65586922748</v>
      </c>
      <c r="F15" s="5">
        <v>352116</v>
      </c>
      <c r="G15" s="6">
        <v>81.365955124858189</v>
      </c>
      <c r="H15" s="6">
        <v>1.1980050173862402</v>
      </c>
      <c r="I15" s="7">
        <v>2896</v>
      </c>
      <c r="J15" s="12">
        <v>90.3</v>
      </c>
      <c r="K15" s="8">
        <f t="shared" si="2"/>
        <v>46356.603437495869</v>
      </c>
      <c r="L15" s="5">
        <v>22166</v>
      </c>
      <c r="M15" s="6">
        <v>79.599999999999994</v>
      </c>
      <c r="N15" s="6">
        <v>14.2</v>
      </c>
      <c r="O15" s="6">
        <v>10.8</v>
      </c>
      <c r="P15" s="6">
        <v>-4.5999999999999996</v>
      </c>
      <c r="Q15" s="6">
        <v>-21.5</v>
      </c>
      <c r="R15" s="9">
        <v>286.29303378974981</v>
      </c>
      <c r="S15" s="11">
        <v>348481</v>
      </c>
      <c r="T15" s="11">
        <v>474011</v>
      </c>
      <c r="U15" s="11">
        <f t="shared" si="3"/>
        <v>991317.33068712684</v>
      </c>
      <c r="V15" s="11">
        <v>108</v>
      </c>
      <c r="W15" s="6">
        <v>104.7</v>
      </c>
      <c r="X15" s="6">
        <f t="shared" si="4"/>
        <v>794482.87596939108</v>
      </c>
      <c r="Y15" s="6">
        <v>379892.1</v>
      </c>
      <c r="Z15" s="9">
        <v>104.3</v>
      </c>
      <c r="AA15" s="9">
        <f t="shared" si="5"/>
        <v>3249988.1446841257</v>
      </c>
      <c r="AB15" s="6">
        <v>1554023.2</v>
      </c>
      <c r="AC15" s="6">
        <f t="shared" si="6"/>
        <v>7795026.201531508</v>
      </c>
      <c r="AD15" s="19">
        <v>3727291</v>
      </c>
      <c r="AE15" s="11">
        <v>513</v>
      </c>
      <c r="AF15" s="6">
        <v>8.3000000000000007</v>
      </c>
      <c r="AG15" s="20">
        <f t="shared" si="7"/>
        <v>466736.48516195023</v>
      </c>
      <c r="AH15" s="16">
        <v>223175.9914</v>
      </c>
      <c r="AI15" s="25">
        <v>583.43496214152697</v>
      </c>
      <c r="AJ15" s="5">
        <v>1634</v>
      </c>
      <c r="AK15" s="5">
        <v>190</v>
      </c>
      <c r="AL15" s="11">
        <v>357</v>
      </c>
      <c r="AM15" s="44">
        <v>3838.0054714322514</v>
      </c>
      <c r="AN15" s="44">
        <v>20</v>
      </c>
      <c r="AO15" s="44">
        <v>91.2</v>
      </c>
      <c r="AP15" s="44">
        <v>79.900000000000006</v>
      </c>
      <c r="AQ15" s="44">
        <v>199.3</v>
      </c>
      <c r="AR15" s="44">
        <v>77.426950575069938</v>
      </c>
      <c r="AS15" s="44">
        <v>378.4</v>
      </c>
      <c r="AT15" s="59">
        <v>2.0913382404356162</v>
      </c>
      <c r="AU15" s="60">
        <v>2012</v>
      </c>
    </row>
    <row r="16" spans="1:49" x14ac:dyDescent="0.3">
      <c r="A16" s="1">
        <v>2013</v>
      </c>
      <c r="B16" s="10">
        <v>127.4</v>
      </c>
      <c r="C16" s="4">
        <f t="shared" si="0"/>
        <v>184218.7566973982</v>
      </c>
      <c r="D16" s="5">
        <v>92556.7</v>
      </c>
      <c r="E16" s="5">
        <f t="shared" si="1"/>
        <v>945705.25986786548</v>
      </c>
      <c r="F16" s="5">
        <v>475149</v>
      </c>
      <c r="G16" s="6">
        <v>80.5</v>
      </c>
      <c r="H16" s="6">
        <v>1.6291414182479149</v>
      </c>
      <c r="I16" s="7">
        <v>2862</v>
      </c>
      <c r="J16" s="12">
        <v>80.599999999999994</v>
      </c>
      <c r="K16" s="8">
        <f t="shared" si="2"/>
        <v>53074.249255783972</v>
      </c>
      <c r="L16" s="5">
        <v>26666</v>
      </c>
      <c r="M16" s="6">
        <v>88.4</v>
      </c>
      <c r="N16" s="6">
        <v>18.7</v>
      </c>
      <c r="O16" s="6">
        <v>3.3</v>
      </c>
      <c r="P16" s="6">
        <v>-10.4</v>
      </c>
      <c r="Q16" s="6">
        <v>-15</v>
      </c>
      <c r="R16" s="9">
        <v>314.47048923871904</v>
      </c>
      <c r="S16" s="11">
        <v>354354</v>
      </c>
      <c r="T16" s="11">
        <v>499402</v>
      </c>
      <c r="U16" s="11">
        <f t="shared" si="3"/>
        <v>993976.83292721177</v>
      </c>
      <c r="V16" s="11">
        <v>100.6</v>
      </c>
      <c r="W16" s="6">
        <v>99.6</v>
      </c>
      <c r="X16" s="6">
        <f t="shared" si="4"/>
        <v>826972.27687439276</v>
      </c>
      <c r="Y16" s="6">
        <v>415494.2</v>
      </c>
      <c r="Z16" s="9">
        <v>101.8</v>
      </c>
      <c r="AA16" s="9">
        <f t="shared" si="5"/>
        <v>3380578.4974293322</v>
      </c>
      <c r="AB16" s="6">
        <v>1698498</v>
      </c>
      <c r="AC16" s="6">
        <f t="shared" si="6"/>
        <v>8656814.887575414</v>
      </c>
      <c r="AD16" s="19">
        <v>4349428</v>
      </c>
      <c r="AE16" s="11">
        <v>503</v>
      </c>
      <c r="AF16" s="6">
        <v>8.3000000000000007</v>
      </c>
      <c r="AG16" s="20">
        <f t="shared" si="7"/>
        <v>426595.67305611738</v>
      </c>
      <c r="AH16" s="16">
        <v>214333.7</v>
      </c>
      <c r="AI16" s="25">
        <v>648.59044170614186</v>
      </c>
      <c r="AJ16" s="5">
        <v>1689</v>
      </c>
      <c r="AK16" s="5">
        <v>239</v>
      </c>
      <c r="AL16" s="11">
        <v>384</v>
      </c>
      <c r="AM16" s="44">
        <v>4034.0548940956378</v>
      </c>
      <c r="AN16" s="44">
        <v>19</v>
      </c>
      <c r="AO16" s="44">
        <v>90.4</v>
      </c>
      <c r="AP16" s="44">
        <v>80.2</v>
      </c>
      <c r="AQ16" s="44">
        <v>214.5</v>
      </c>
      <c r="AR16" s="44">
        <v>77.440424610051991</v>
      </c>
      <c r="AS16" s="44">
        <v>389.2</v>
      </c>
      <c r="AT16" s="59">
        <v>1.9903341054445352</v>
      </c>
      <c r="AU16" s="1">
        <v>2013</v>
      </c>
    </row>
    <row r="17" spans="1:47" x14ac:dyDescent="0.3">
      <c r="A17" s="1">
        <v>2014</v>
      </c>
      <c r="B17" s="10">
        <v>105.95847549042389</v>
      </c>
      <c r="C17" s="4">
        <f t="shared" si="0"/>
        <v>186347.32827926916</v>
      </c>
      <c r="D17" s="5">
        <v>99949.4</v>
      </c>
      <c r="E17" s="5">
        <f t="shared" si="1"/>
        <v>975707.04432160896</v>
      </c>
      <c r="F17" s="5">
        <v>523331</v>
      </c>
      <c r="G17" s="6">
        <v>81.8</v>
      </c>
      <c r="H17" s="6">
        <v>1.4647201630094659</v>
      </c>
      <c r="I17" s="7">
        <v>2909</v>
      </c>
      <c r="J17" s="12">
        <v>75.400000000000006</v>
      </c>
      <c r="K17" s="8">
        <f t="shared" si="2"/>
        <v>52539.261975657741</v>
      </c>
      <c r="L17" s="5">
        <v>28180</v>
      </c>
      <c r="M17" s="6">
        <v>86.1</v>
      </c>
      <c r="N17" s="6">
        <v>18.600000000000001</v>
      </c>
      <c r="O17" s="6">
        <v>3.4</v>
      </c>
      <c r="P17" s="6">
        <v>-8.1</v>
      </c>
      <c r="Q17" s="6">
        <v>-8</v>
      </c>
      <c r="R17" s="9">
        <v>293.98265813788197</v>
      </c>
      <c r="S17" s="11">
        <v>357124</v>
      </c>
      <c r="T17" s="11">
        <v>257087</v>
      </c>
      <c r="U17" s="11">
        <f t="shared" si="3"/>
        <v>479317.29040226829</v>
      </c>
      <c r="V17" s="11">
        <v>75.900000000000006</v>
      </c>
      <c r="W17" s="6">
        <v>93.6</v>
      </c>
      <c r="X17" s="6">
        <f t="shared" si="4"/>
        <v>808476.6988881029</v>
      </c>
      <c r="Y17" s="6">
        <v>433635.2</v>
      </c>
      <c r="Z17" s="9">
        <v>101</v>
      </c>
      <c r="AA17" s="9">
        <f t="shared" si="5"/>
        <v>3430526.873283763</v>
      </c>
      <c r="AB17" s="6">
        <v>1840000.1</v>
      </c>
      <c r="AC17" s="6">
        <f t="shared" si="6"/>
        <v>9080264.8162356969</v>
      </c>
      <c r="AD17" s="19">
        <v>4870298</v>
      </c>
      <c r="AE17" s="11">
        <v>623</v>
      </c>
      <c r="AF17" s="6">
        <v>10.5</v>
      </c>
      <c r="AG17" s="20">
        <f t="shared" si="7"/>
        <v>372029.05980462389</v>
      </c>
      <c r="AH17" s="16">
        <v>199541.8</v>
      </c>
      <c r="AI17" s="25">
        <v>715.5717402352542</v>
      </c>
      <c r="AJ17" s="5">
        <v>1717</v>
      </c>
      <c r="AK17" s="5">
        <v>256</v>
      </c>
      <c r="AL17" s="11">
        <v>247</v>
      </c>
      <c r="AM17" s="44">
        <v>4431.3995943049913</v>
      </c>
      <c r="AN17" s="44">
        <v>17</v>
      </c>
      <c r="AO17" s="44">
        <v>85.6</v>
      </c>
      <c r="AP17" s="44">
        <v>80.2</v>
      </c>
      <c r="AQ17" s="44">
        <v>232.5</v>
      </c>
      <c r="AR17" s="44">
        <v>78.214644876378571</v>
      </c>
      <c r="AS17" s="44">
        <v>405.1</v>
      </c>
      <c r="AT17" s="59">
        <v>1.8644166776315734</v>
      </c>
      <c r="AU17" s="1">
        <v>2014</v>
      </c>
    </row>
    <row r="18" spans="1:47" x14ac:dyDescent="0.3">
      <c r="A18" s="1">
        <v>2015</v>
      </c>
      <c r="B18" s="10">
        <v>82.6</v>
      </c>
      <c r="C18" s="4">
        <f t="shared" si="0"/>
        <v>157606.86525308716</v>
      </c>
      <c r="D18" s="5">
        <v>91147.6</v>
      </c>
      <c r="E18" s="5">
        <f t="shared" si="1"/>
        <v>835905.53806400986</v>
      </c>
      <c r="F18" s="5">
        <v>483423</v>
      </c>
      <c r="G18" s="6">
        <v>81.5</v>
      </c>
      <c r="H18" s="6">
        <v>2.2460057297681657</v>
      </c>
      <c r="I18" s="7">
        <v>3003</v>
      </c>
      <c r="J18" s="12">
        <v>82.2</v>
      </c>
      <c r="K18" s="8">
        <f t="shared" si="2"/>
        <v>53463.247159115563</v>
      </c>
      <c r="L18" s="5">
        <v>30919</v>
      </c>
      <c r="M18" s="6">
        <v>84.1</v>
      </c>
      <c r="N18" s="6">
        <v>16.899999999999999</v>
      </c>
      <c r="O18" s="6">
        <v>2.2999999999999998</v>
      </c>
      <c r="P18" s="6">
        <v>-3.3</v>
      </c>
      <c r="Q18" s="6">
        <v>-14.2</v>
      </c>
      <c r="R18" s="9">
        <v>290.31025520593397</v>
      </c>
      <c r="S18" s="11">
        <v>374999</v>
      </c>
      <c r="T18" s="11">
        <v>389065</v>
      </c>
      <c r="U18" s="11">
        <f t="shared" si="3"/>
        <v>672747.44512957393</v>
      </c>
      <c r="V18" s="4">
        <v>83.1</v>
      </c>
      <c r="W18" s="6">
        <v>95.2</v>
      </c>
      <c r="X18" s="6">
        <f t="shared" si="4"/>
        <v>773651.69431679277</v>
      </c>
      <c r="Y18" s="6">
        <v>447420.2</v>
      </c>
      <c r="Z18" s="9">
        <v>101.4</v>
      </c>
      <c r="AA18" s="9">
        <f t="shared" si="5"/>
        <v>3504561.0682635373</v>
      </c>
      <c r="AB18" s="6">
        <v>2026766.6</v>
      </c>
      <c r="AC18" s="6">
        <f t="shared" si="6"/>
        <v>9145735.7911085952</v>
      </c>
      <c r="AD18" s="19">
        <v>5289185</v>
      </c>
      <c r="AE18" s="11">
        <v>571</v>
      </c>
      <c r="AF18" s="6">
        <v>9.8000000000000007</v>
      </c>
      <c r="AG18" s="20">
        <f t="shared" si="7"/>
        <v>363740.45888025285</v>
      </c>
      <c r="AH18" s="16">
        <v>210359.3</v>
      </c>
      <c r="AI18" s="23">
        <v>766</v>
      </c>
      <c r="AJ18" s="5">
        <v>1773</v>
      </c>
      <c r="AK18" s="5">
        <v>284</v>
      </c>
      <c r="AL18" s="11">
        <v>381</v>
      </c>
      <c r="AM18" s="44">
        <v>3066.1799905839907</v>
      </c>
      <c r="AN18" s="44">
        <v>17</v>
      </c>
      <c r="AO18" s="44">
        <v>84</v>
      </c>
      <c r="AP18" s="44">
        <v>72.3</v>
      </c>
      <c r="AQ18" s="44">
        <v>244.2</v>
      </c>
      <c r="AR18" s="44">
        <v>77.204380623581258</v>
      </c>
      <c r="AS18" s="44">
        <v>422.2</v>
      </c>
      <c r="AT18" s="59">
        <v>1.7291389488377877</v>
      </c>
      <c r="AU18" s="1">
        <v>2015</v>
      </c>
    </row>
    <row r="19" spans="1:47" x14ac:dyDescent="0.3">
      <c r="A19" s="1">
        <v>2016</v>
      </c>
      <c r="B19" s="13">
        <v>131.07632243555713</v>
      </c>
      <c r="C19" s="4">
        <f t="shared" si="0"/>
        <v>189200.82768893347</v>
      </c>
      <c r="D19" s="5">
        <v>126416.7</v>
      </c>
      <c r="E19" s="5">
        <f t="shared" si="1"/>
        <v>1015686.0016648726</v>
      </c>
      <c r="F19" s="5">
        <v>678642.23499999999</v>
      </c>
      <c r="G19" s="6">
        <v>83</v>
      </c>
      <c r="H19" s="6">
        <v>1.8033045336858371</v>
      </c>
      <c r="I19" s="7">
        <v>3068</v>
      </c>
      <c r="J19" s="12">
        <v>78.400000000000006</v>
      </c>
      <c r="K19" s="8">
        <f t="shared" si="2"/>
        <v>48052.757069347543</v>
      </c>
      <c r="L19" s="5">
        <v>32107</v>
      </c>
      <c r="M19" s="6">
        <v>82.3</v>
      </c>
      <c r="N19" s="6">
        <v>16.8</v>
      </c>
      <c r="O19" s="6">
        <v>2.2000000000000002</v>
      </c>
      <c r="P19" s="6">
        <v>-1.3</v>
      </c>
      <c r="Q19" s="6">
        <v>-7.7</v>
      </c>
      <c r="R19" s="9">
        <v>292.69929718039657</v>
      </c>
      <c r="S19" s="11">
        <v>355755</v>
      </c>
      <c r="T19" s="11">
        <v>907863</v>
      </c>
      <c r="U19" s="11">
        <f t="shared" si="3"/>
        <v>1358747.9425436531</v>
      </c>
      <c r="V19" s="4">
        <v>143.80000000000001</v>
      </c>
      <c r="W19" s="6">
        <v>103.8</v>
      </c>
      <c r="X19" s="6">
        <f t="shared" si="4"/>
        <v>727175.74109974597</v>
      </c>
      <c r="Y19" s="6">
        <v>485870.8</v>
      </c>
      <c r="Z19" s="9">
        <v>102.3</v>
      </c>
      <c r="AA19" s="9">
        <f t="shared" si="5"/>
        <v>3846155.4272396225</v>
      </c>
      <c r="AB19" s="6">
        <v>2569852.7999999998</v>
      </c>
      <c r="AC19" s="6">
        <f t="shared" si="6"/>
        <v>9797054.2409614101</v>
      </c>
      <c r="AD19" s="19">
        <v>6546014</v>
      </c>
      <c r="AE19" s="11">
        <v>581</v>
      </c>
      <c r="AF19" s="6">
        <v>10.7</v>
      </c>
      <c r="AG19" s="20">
        <f t="shared" si="7"/>
        <v>397677.53538530937</v>
      </c>
      <c r="AH19" s="16">
        <v>265712.8</v>
      </c>
      <c r="AI19" s="25">
        <v>806.27059195867889</v>
      </c>
      <c r="AJ19" s="5">
        <v>1823</v>
      </c>
      <c r="AK19" s="5">
        <v>302</v>
      </c>
      <c r="AL19" s="11">
        <v>685</v>
      </c>
      <c r="AM19" s="44">
        <v>4824.5075685371039</v>
      </c>
      <c r="AN19" s="44">
        <v>18</v>
      </c>
      <c r="AO19" s="44">
        <v>81.7</v>
      </c>
      <c r="AP19" s="44">
        <v>75.7</v>
      </c>
      <c r="AQ19" s="44">
        <v>254.6</v>
      </c>
      <c r="AR19" s="44">
        <v>76.280245922268435</v>
      </c>
      <c r="AS19" s="44">
        <v>446.1</v>
      </c>
      <c r="AT19" s="59">
        <v>1.4966442541921556</v>
      </c>
      <c r="AU19" s="1">
        <v>2016</v>
      </c>
    </row>
    <row r="20" spans="1:47" x14ac:dyDescent="0.3">
      <c r="A20" s="1">
        <v>2017</v>
      </c>
      <c r="B20" s="4">
        <v>96.282863084007218</v>
      </c>
      <c r="C20" s="4">
        <f t="shared" si="0"/>
        <v>172490.19797359937</v>
      </c>
      <c r="D20" s="5">
        <v>123367.8</v>
      </c>
      <c r="E20" s="5">
        <f t="shared" si="1"/>
        <v>940086.5856052977</v>
      </c>
      <c r="F20" s="5">
        <v>672365.24300000002</v>
      </c>
      <c r="G20" s="6">
        <v>83.7</v>
      </c>
      <c r="H20" s="6">
        <v>1.6933777429694767</v>
      </c>
      <c r="I20" s="7">
        <v>3108</v>
      </c>
      <c r="J20" s="12">
        <v>67.2</v>
      </c>
      <c r="K20" s="8">
        <f t="shared" si="2"/>
        <v>47528.279662250308</v>
      </c>
      <c r="L20" s="5">
        <v>33993</v>
      </c>
      <c r="M20" s="6">
        <v>82.3</v>
      </c>
      <c r="N20" s="6">
        <v>17.899999999999999</v>
      </c>
      <c r="O20" s="6">
        <v>2.4</v>
      </c>
      <c r="P20" s="6">
        <v>-2.6</v>
      </c>
      <c r="Q20" s="6">
        <v>-6.8</v>
      </c>
      <c r="R20" s="9">
        <v>293.84116115557941</v>
      </c>
      <c r="S20" s="11">
        <v>345277</v>
      </c>
      <c r="T20" s="11">
        <v>768320</v>
      </c>
      <c r="U20" s="11">
        <f t="shared" si="3"/>
        <v>1074248.4579207529</v>
      </c>
      <c r="V20" s="4">
        <v>106.4</v>
      </c>
      <c r="W20" s="6">
        <v>105.4</v>
      </c>
      <c r="X20" s="6">
        <f t="shared" si="4"/>
        <v>730061.24860175396</v>
      </c>
      <c r="Y20" s="6">
        <v>522151.7</v>
      </c>
      <c r="Z20" s="9">
        <v>101.1</v>
      </c>
      <c r="AA20" s="9">
        <f t="shared" si="5"/>
        <v>3878248.3376738294</v>
      </c>
      <c r="AB20" s="6">
        <v>2773786.4</v>
      </c>
      <c r="AC20" s="6">
        <f t="shared" si="6"/>
        <v>10016389.543382462</v>
      </c>
      <c r="AD20" s="26">
        <v>7163885</v>
      </c>
      <c r="AE20" s="11">
        <v>649</v>
      </c>
      <c r="AF20" s="6">
        <v>12.8</v>
      </c>
      <c r="AG20" s="20">
        <f t="shared" si="7"/>
        <v>423805.22214267292</v>
      </c>
      <c r="AH20" s="16">
        <v>303112.40000000002</v>
      </c>
      <c r="AI20" s="25">
        <v>780.73983039169832</v>
      </c>
      <c r="AJ20" s="5">
        <v>1845</v>
      </c>
      <c r="AK20" s="5">
        <v>312</v>
      </c>
      <c r="AL20" s="11">
        <v>904</v>
      </c>
      <c r="AM20" s="44">
        <v>4847.2620712293219</v>
      </c>
      <c r="AN20" s="44">
        <v>14.7</v>
      </c>
      <c r="AO20" s="44">
        <v>82.3</v>
      </c>
      <c r="AP20" s="44">
        <v>78.599999999999994</v>
      </c>
      <c r="AQ20" s="44">
        <v>264.10000000000002</v>
      </c>
      <c r="AR20" s="44">
        <v>75.896044470248739</v>
      </c>
      <c r="AS20" s="44">
        <v>469.5</v>
      </c>
      <c r="AT20" s="59">
        <v>1.3981784385682436</v>
      </c>
      <c r="AU20" s="1">
        <v>2017</v>
      </c>
    </row>
    <row r="21" spans="1:47" x14ac:dyDescent="0.3">
      <c r="A21" s="1">
        <v>2018</v>
      </c>
      <c r="B21" s="4">
        <v>119</v>
      </c>
      <c r="C21" s="4">
        <f t="shared" si="0"/>
        <v>208342.51980640832</v>
      </c>
      <c r="D21" s="5">
        <v>154498.5</v>
      </c>
      <c r="E21" s="5">
        <f t="shared" si="1"/>
        <v>1150173.6258689477</v>
      </c>
      <c r="F21" s="5">
        <v>852922.87</v>
      </c>
      <c r="G21" s="6">
        <v>84</v>
      </c>
      <c r="H21" s="6">
        <v>1.5841228157087681</v>
      </c>
      <c r="I21" s="7">
        <v>3131</v>
      </c>
      <c r="J21" s="12">
        <v>66.400000000000006</v>
      </c>
      <c r="K21" s="8">
        <f t="shared" si="2"/>
        <v>48400.66227757297</v>
      </c>
      <c r="L21" s="5">
        <v>35892</v>
      </c>
      <c r="M21" s="6">
        <v>81.8</v>
      </c>
      <c r="N21" s="6">
        <v>18.5</v>
      </c>
      <c r="O21" s="6">
        <v>3</v>
      </c>
      <c r="P21" s="6">
        <v>-3.3</v>
      </c>
      <c r="Q21" s="6">
        <v>-3.2</v>
      </c>
      <c r="R21" s="9">
        <v>292.77681368461384</v>
      </c>
      <c r="S21" s="11">
        <v>314917</v>
      </c>
      <c r="T21" s="11">
        <v>604517</v>
      </c>
      <c r="U21" s="11">
        <f t="shared" si="3"/>
        <v>815196.23197513598</v>
      </c>
      <c r="V21" s="4">
        <v>101.9</v>
      </c>
      <c r="W21" s="6">
        <v>104.4</v>
      </c>
      <c r="X21" s="6">
        <f t="shared" si="4"/>
        <v>794902.52957306313</v>
      </c>
      <c r="Y21" s="6">
        <v>589468</v>
      </c>
      <c r="Z21" s="9">
        <v>103.4</v>
      </c>
      <c r="AA21" s="9">
        <f t="shared" si="5"/>
        <v>4071193.6854742016</v>
      </c>
      <c r="AB21" s="6">
        <v>3019034.8</v>
      </c>
      <c r="AC21" s="6">
        <f t="shared" si="6"/>
        <v>10541225.169731377</v>
      </c>
      <c r="AD21" s="19">
        <v>7816952</v>
      </c>
      <c r="AE21" s="5">
        <v>716</v>
      </c>
      <c r="AF21" s="6">
        <v>14.2</v>
      </c>
      <c r="AG21" s="20">
        <f t="shared" si="7"/>
        <v>508550.50974998565</v>
      </c>
      <c r="AH21" s="16">
        <v>377120.76730000001</v>
      </c>
      <c r="AI21" s="25">
        <v>764.23046393987897</v>
      </c>
      <c r="AJ21" s="5">
        <v>1877</v>
      </c>
      <c r="AK21" s="5">
        <v>328</v>
      </c>
      <c r="AL21" s="11">
        <v>787</v>
      </c>
      <c r="AM21" s="44">
        <v>4778.858621168115</v>
      </c>
      <c r="AN21" s="44">
        <v>14</v>
      </c>
      <c r="AO21" s="44">
        <v>80.599999999999994</v>
      </c>
      <c r="AP21" s="44">
        <v>78.8</v>
      </c>
      <c r="AQ21" s="44">
        <v>274.8</v>
      </c>
      <c r="AR21" s="44">
        <v>77.631835399594934</v>
      </c>
      <c r="AS21" s="44">
        <v>492.52499999999998</v>
      </c>
      <c r="AT21" s="59">
        <v>1.34850836614212</v>
      </c>
      <c r="AU21" s="1">
        <v>2018</v>
      </c>
    </row>
    <row r="22" spans="1:47" x14ac:dyDescent="0.3">
      <c r="A22" s="1">
        <v>2019</v>
      </c>
      <c r="B22" s="15">
        <v>81.457117533641494</v>
      </c>
      <c r="C22" s="4">
        <f t="shared" si="0"/>
        <v>175309.36849375011</v>
      </c>
      <c r="D22" s="5">
        <v>133744.29999999999</v>
      </c>
      <c r="E22" s="5">
        <f t="shared" si="1"/>
        <v>975344.66244067647</v>
      </c>
      <c r="F22" s="5">
        <v>744094.79799999995</v>
      </c>
      <c r="G22" s="6">
        <v>84.5</v>
      </c>
      <c r="H22" s="6">
        <v>1.453733352153177</v>
      </c>
      <c r="I22" s="7">
        <v>3151</v>
      </c>
      <c r="J22" s="16">
        <v>64.2</v>
      </c>
      <c r="K22" s="8">
        <f t="shared" si="2"/>
        <v>49884.358711112538</v>
      </c>
      <c r="L22" s="5">
        <v>38057</v>
      </c>
      <c r="M22" s="6">
        <v>82.7</v>
      </c>
      <c r="N22" s="6">
        <v>19.100000000000001</v>
      </c>
      <c r="O22" s="6">
        <v>2.9</v>
      </c>
      <c r="P22" s="6">
        <v>-4.7</v>
      </c>
      <c r="Q22" s="6">
        <v>-7.2</v>
      </c>
      <c r="R22" s="9">
        <v>293.46349739246608</v>
      </c>
      <c r="S22" s="11">
        <v>280663</v>
      </c>
      <c r="T22" s="11">
        <v>1251243</v>
      </c>
      <c r="U22" s="11">
        <f t="shared" si="3"/>
        <v>1640104.4393086315</v>
      </c>
      <c r="V22" s="4">
        <v>73.8</v>
      </c>
      <c r="W22" s="6">
        <v>104.5</v>
      </c>
      <c r="X22" s="6">
        <f t="shared" si="4"/>
        <v>850704.09483788826</v>
      </c>
      <c r="Y22" s="6">
        <v>649005.95244162995</v>
      </c>
      <c r="Z22" s="9">
        <v>101.8</v>
      </c>
      <c r="AA22" s="9">
        <f t="shared" si="5"/>
        <v>4185948.4981878027</v>
      </c>
      <c r="AB22" s="6">
        <v>3193478.8</v>
      </c>
      <c r="AC22" s="6">
        <f t="shared" si="6"/>
        <v>27007974.054721948</v>
      </c>
      <c r="AD22" s="19">
        <v>20604504</v>
      </c>
      <c r="AE22" s="7">
        <v>624</v>
      </c>
      <c r="AF22" s="16">
        <v>13.1</v>
      </c>
      <c r="AG22" s="20">
        <f t="shared" si="7"/>
        <v>618384.64771627868</v>
      </c>
      <c r="AH22" s="16">
        <v>471768.40889999998</v>
      </c>
      <c r="AI22" s="25">
        <v>777.00179650997143</v>
      </c>
      <c r="AJ22" s="5">
        <v>1915</v>
      </c>
      <c r="AK22" s="5">
        <v>345</v>
      </c>
      <c r="AL22" s="11">
        <v>653</v>
      </c>
      <c r="AM22" s="44">
        <v>5315.117195539191</v>
      </c>
      <c r="AN22" s="44">
        <v>13</v>
      </c>
      <c r="AO22" s="44">
        <v>80.8</v>
      </c>
      <c r="AP22" s="44">
        <v>82.1</v>
      </c>
      <c r="AQ22" s="44">
        <v>285.3</v>
      </c>
      <c r="AR22" s="44">
        <v>81.386611437276414</v>
      </c>
      <c r="AS22" s="44">
        <v>517.66399999999999</v>
      </c>
      <c r="AT22" s="59">
        <v>1.3107801117038269</v>
      </c>
      <c r="AU22" s="1">
        <v>2019</v>
      </c>
    </row>
    <row r="23" spans="1:47" x14ac:dyDescent="0.3">
      <c r="A23" s="1">
        <v>2020</v>
      </c>
      <c r="B23" s="15">
        <v>95.841063618732761</v>
      </c>
      <c r="C23" s="4">
        <f t="shared" si="0"/>
        <v>171982.2278884137</v>
      </c>
      <c r="D23" s="5">
        <v>137071.4</v>
      </c>
      <c r="E23" s="5">
        <f t="shared" si="1"/>
        <v>960457.61926140753</v>
      </c>
      <c r="F23" s="5">
        <v>765493.45900000003</v>
      </c>
      <c r="G23" s="6">
        <v>83.4</v>
      </c>
      <c r="H23" s="6">
        <v>3.3150367313243971</v>
      </c>
      <c r="I23" s="17">
        <v>3195</v>
      </c>
      <c r="J23" s="16">
        <v>63.4</v>
      </c>
      <c r="K23" s="8">
        <f t="shared" si="2"/>
        <v>43705.900182423204</v>
      </c>
      <c r="L23" s="5">
        <v>34834</v>
      </c>
      <c r="M23" s="6">
        <v>73.099999999999994</v>
      </c>
      <c r="N23" s="6">
        <v>18.899999999999999</v>
      </c>
      <c r="O23" s="6">
        <v>3.2</v>
      </c>
      <c r="P23" s="6">
        <v>4.8</v>
      </c>
      <c r="Q23" s="6">
        <v>0.5</v>
      </c>
      <c r="R23" s="9">
        <v>294.12600453823762</v>
      </c>
      <c r="S23" s="11">
        <v>240385</v>
      </c>
      <c r="T23" s="11">
        <v>1898954</v>
      </c>
      <c r="U23" s="11">
        <f t="shared" si="3"/>
        <v>2382600.1600451646</v>
      </c>
      <c r="V23" s="9">
        <v>84.4</v>
      </c>
      <c r="W23" s="6">
        <v>98.4</v>
      </c>
      <c r="X23" s="6">
        <f t="shared" si="4"/>
        <v>852586.36440988013</v>
      </c>
      <c r="Y23" s="6">
        <v>679519.08767222997</v>
      </c>
      <c r="Z23" s="9">
        <v>97.5</v>
      </c>
      <c r="AA23" s="9">
        <f t="shared" si="5"/>
        <v>4188226.1020643208</v>
      </c>
      <c r="AB23" s="6">
        <v>3338054.3</v>
      </c>
      <c r="AC23" s="6">
        <f t="shared" si="6"/>
        <v>27201272.990775488</v>
      </c>
      <c r="AD23" s="19">
        <v>21679662</v>
      </c>
      <c r="AE23" s="7">
        <v>603</v>
      </c>
      <c r="AF23" s="16">
        <v>12.9</v>
      </c>
      <c r="AG23" s="20">
        <f t="shared" si="7"/>
        <v>562132.73120055511</v>
      </c>
      <c r="AH23" s="16">
        <v>448024.9</v>
      </c>
      <c r="AI23" s="25">
        <v>330.56794620808427</v>
      </c>
      <c r="AJ23" s="5">
        <v>1936</v>
      </c>
      <c r="AK23" s="5">
        <v>356</v>
      </c>
      <c r="AL23" s="11">
        <v>636</v>
      </c>
      <c r="AM23" s="44">
        <v>1834.3557524212433</v>
      </c>
      <c r="AN23" s="44">
        <v>12</v>
      </c>
      <c r="AO23" s="44">
        <v>79.7</v>
      </c>
      <c r="AP23" s="44">
        <v>86</v>
      </c>
      <c r="AQ23" s="44">
        <v>288.16300000000001</v>
      </c>
      <c r="AR23" s="44">
        <v>83.863635702208029</v>
      </c>
      <c r="AS23" s="44">
        <v>538.1</v>
      </c>
      <c r="AT23" s="59">
        <v>1.2546908245513924</v>
      </c>
      <c r="AU23" s="1">
        <v>2020</v>
      </c>
    </row>
    <row r="24" spans="1:47" x14ac:dyDescent="0.3">
      <c r="A24" s="1">
        <v>2021</v>
      </c>
      <c r="B24" s="15">
        <v>109.1</v>
      </c>
      <c r="C24" s="4">
        <f t="shared" si="0"/>
        <v>194401.01416151348</v>
      </c>
      <c r="D24" s="5">
        <v>160178.9</v>
      </c>
      <c r="E24" s="5">
        <f t="shared" si="1"/>
        <v>1088298.5646741509</v>
      </c>
      <c r="F24" s="5">
        <v>896715.83100000001</v>
      </c>
      <c r="G24" s="6">
        <v>83.9</v>
      </c>
      <c r="H24" s="6">
        <v>2.4467461925558047</v>
      </c>
      <c r="I24" s="17">
        <v>3226</v>
      </c>
      <c r="J24" s="16">
        <v>64.099999999999994</v>
      </c>
      <c r="K24" s="8">
        <f t="shared" si="2"/>
        <v>53171.190658882457</v>
      </c>
      <c r="L24" s="5">
        <v>43811</v>
      </c>
      <c r="M24" s="6">
        <v>78.7</v>
      </c>
      <c r="N24" s="6">
        <v>18.899999999999999</v>
      </c>
      <c r="O24" s="6">
        <v>3.2</v>
      </c>
      <c r="P24" s="6">
        <v>-0.8</v>
      </c>
      <c r="Q24" s="6">
        <v>-4.4000000000000004</v>
      </c>
      <c r="R24" s="18">
        <v>294.7185728174245</v>
      </c>
      <c r="S24" s="11">
        <v>226342</v>
      </c>
      <c r="T24" s="11">
        <v>4909741</v>
      </c>
      <c r="U24" s="11">
        <f t="shared" si="3"/>
        <v>5958703.8596866587</v>
      </c>
      <c r="V24" s="9">
        <v>131.4</v>
      </c>
      <c r="W24" s="6">
        <v>106.4</v>
      </c>
      <c r="X24" s="6">
        <f t="shared" si="4"/>
        <v>1026774.8316014105</v>
      </c>
      <c r="Y24" s="6">
        <v>846022.65982498997</v>
      </c>
      <c r="Z24" s="9">
        <v>120</v>
      </c>
      <c r="AA24" s="9">
        <f t="shared" si="5"/>
        <v>5080697.8710830016</v>
      </c>
      <c r="AB24" s="6">
        <v>4186298.1</v>
      </c>
      <c r="AC24" s="6">
        <f t="shared" si="6"/>
        <v>27949391.282769073</v>
      </c>
      <c r="AD24" s="19">
        <v>23029215</v>
      </c>
      <c r="AE24" s="7">
        <v>619</v>
      </c>
      <c r="AF24" s="16">
        <v>12.8</v>
      </c>
      <c r="AG24" s="20">
        <f t="shared" si="7"/>
        <v>757381.67595331965</v>
      </c>
      <c r="AH24" s="16">
        <v>624053.1422</v>
      </c>
      <c r="AI24" s="27">
        <v>520.11165689957568</v>
      </c>
      <c r="AJ24" s="5">
        <v>1971</v>
      </c>
      <c r="AK24" s="5">
        <v>380</v>
      </c>
      <c r="AL24" s="11">
        <v>716</v>
      </c>
      <c r="AM24" s="44">
        <v>3297.8155024605139</v>
      </c>
      <c r="AN24" s="44">
        <v>11</v>
      </c>
      <c r="AO24" s="44">
        <v>81.2</v>
      </c>
      <c r="AP24" s="44">
        <v>87.9</v>
      </c>
      <c r="AQ24" s="44">
        <v>291.52100000000002</v>
      </c>
      <c r="AR24" s="44">
        <v>88.042752776242551</v>
      </c>
      <c r="AS24" s="44">
        <v>559.20000000000005</v>
      </c>
      <c r="AT24" s="59">
        <v>1.2136493268558686</v>
      </c>
      <c r="AU24" s="1">
        <v>2021</v>
      </c>
    </row>
    <row r="25" spans="1:47" x14ac:dyDescent="0.3">
      <c r="A25" s="1">
        <v>2022</v>
      </c>
      <c r="B25" s="4">
        <v>99.9</v>
      </c>
      <c r="C25" s="4">
        <f t="shared" si="0"/>
        <v>213154.96818520024</v>
      </c>
      <c r="D25" s="5">
        <v>187389</v>
      </c>
      <c r="E25" s="5">
        <f t="shared" si="1"/>
        <v>1194514.9873978563</v>
      </c>
      <c r="F25" s="5">
        <v>1050123.1610000001</v>
      </c>
      <c r="G25" s="6">
        <v>83.9</v>
      </c>
      <c r="H25" s="6">
        <v>2.2230811542785789</v>
      </c>
      <c r="I25" s="17">
        <v>3236</v>
      </c>
      <c r="J25" s="6">
        <v>64.599999999999994</v>
      </c>
      <c r="K25" s="8">
        <f t="shared" si="2"/>
        <v>55040.20751259297</v>
      </c>
      <c r="L25" s="5">
        <v>48387</v>
      </c>
      <c r="M25" s="6">
        <v>74</v>
      </c>
      <c r="N25" s="6">
        <v>19.7</v>
      </c>
      <c r="O25" s="6">
        <v>3.4</v>
      </c>
      <c r="P25" s="6">
        <v>2.9</v>
      </c>
      <c r="Q25" s="6">
        <v>4.3</v>
      </c>
      <c r="R25" s="9">
        <v>290.20432696600238</v>
      </c>
      <c r="S25" s="11">
        <v>217397</v>
      </c>
      <c r="T25" s="11">
        <v>1925197</v>
      </c>
      <c r="U25" s="11">
        <f t="shared" si="3"/>
        <v>2189911.3890636214</v>
      </c>
      <c r="V25" s="9">
        <v>40.6</v>
      </c>
      <c r="W25" s="6">
        <v>106.1</v>
      </c>
      <c r="X25" s="6">
        <f t="shared" si="4"/>
        <v>1325541.1384399082</v>
      </c>
      <c r="Y25" s="6">
        <v>1165310.99652953</v>
      </c>
      <c r="Z25" s="9">
        <v>97.6</v>
      </c>
      <c r="AA25" s="9">
        <f t="shared" si="5"/>
        <v>4931420.3656448424</v>
      </c>
      <c r="AB25" s="6">
        <v>4335315</v>
      </c>
      <c r="AC25" s="6">
        <f t="shared" si="6"/>
        <v>27544822.766556598</v>
      </c>
      <c r="AD25" s="19">
        <v>24215231</v>
      </c>
      <c r="AE25" s="7">
        <v>620</v>
      </c>
      <c r="AF25" s="18">
        <v>12.53627825787725</v>
      </c>
      <c r="AG25" s="20">
        <f t="shared" si="7"/>
        <v>570797.78895904485</v>
      </c>
      <c r="AH25" s="16">
        <v>501800.29950000002</v>
      </c>
      <c r="AI25" s="28">
        <v>695</v>
      </c>
      <c r="AJ25" s="11">
        <v>2010</v>
      </c>
      <c r="AK25" s="11">
        <v>395</v>
      </c>
      <c r="AL25" s="11">
        <v>685</v>
      </c>
      <c r="AM25" s="44">
        <v>4987</v>
      </c>
      <c r="AN25" s="44">
        <v>11</v>
      </c>
      <c r="AO25" s="44">
        <v>83.6</v>
      </c>
      <c r="AP25" s="44">
        <v>89.1</v>
      </c>
      <c r="AQ25" s="44">
        <v>282.48899999999998</v>
      </c>
      <c r="AR25" s="44">
        <v>89.073910575770952</v>
      </c>
      <c r="AS25" s="44">
        <v>578.70000000000005</v>
      </c>
      <c r="AT25" s="59">
        <v>1.1374998969267152</v>
      </c>
      <c r="AU25" s="1">
        <v>2022</v>
      </c>
    </row>
    <row r="26" spans="1:47" x14ac:dyDescent="0.3">
      <c r="A26" s="1">
        <v>2023</v>
      </c>
      <c r="B26" s="6">
        <v>103.4</v>
      </c>
      <c r="C26" s="4">
        <f t="shared" si="0"/>
        <v>213541</v>
      </c>
      <c r="D26" s="5">
        <v>213541</v>
      </c>
      <c r="E26" s="5">
        <f t="shared" si="1"/>
        <v>1195595.0589999999</v>
      </c>
      <c r="F26" s="5">
        <v>1195595.0589999999</v>
      </c>
      <c r="G26" s="6">
        <v>85.2</v>
      </c>
      <c r="H26" s="6">
        <v>1.6967454695692927</v>
      </c>
      <c r="I26" s="17">
        <v>3261</v>
      </c>
      <c r="J26" s="6">
        <v>63.640999999999998</v>
      </c>
      <c r="K26" s="8">
        <f t="shared" si="2"/>
        <v>59969</v>
      </c>
      <c r="L26" s="5">
        <v>59969</v>
      </c>
      <c r="M26" s="6">
        <v>83.2</v>
      </c>
      <c r="N26" s="6">
        <v>18.3</v>
      </c>
      <c r="O26" s="6">
        <v>2</v>
      </c>
      <c r="P26" s="6">
        <v>-3.5</v>
      </c>
      <c r="Q26" s="6">
        <v>2</v>
      </c>
      <c r="R26" s="9">
        <v>289.04457012560198</v>
      </c>
      <c r="S26" s="11">
        <v>209344</v>
      </c>
      <c r="T26" s="11">
        <v>2888158</v>
      </c>
      <c r="U26" s="11">
        <f t="shared" si="3"/>
        <v>2888158</v>
      </c>
      <c r="V26" s="9">
        <v>85.6</v>
      </c>
      <c r="W26" s="6">
        <v>111.5</v>
      </c>
      <c r="X26" s="6">
        <f t="shared" si="4"/>
        <v>1149928.65994424</v>
      </c>
      <c r="Y26" s="6">
        <v>1149928.65994424</v>
      </c>
      <c r="Z26" s="1">
        <v>106.2</v>
      </c>
      <c r="AA26" s="9">
        <f t="shared" si="5"/>
        <v>5189287.3</v>
      </c>
      <c r="AB26" s="6">
        <v>5189287.3</v>
      </c>
      <c r="AC26" s="6">
        <f t="shared" si="6"/>
        <v>25934251</v>
      </c>
      <c r="AD26" s="19">
        <v>25934251</v>
      </c>
      <c r="AE26" s="7">
        <v>622</v>
      </c>
      <c r="AF26" s="18">
        <v>14.134601574253873</v>
      </c>
      <c r="AG26" s="20">
        <f t="shared" si="7"/>
        <v>499661.69900000002</v>
      </c>
      <c r="AH26" s="16">
        <v>499661.69900000002</v>
      </c>
      <c r="AI26" s="7">
        <v>822</v>
      </c>
      <c r="AJ26" s="11">
        <v>2045</v>
      </c>
      <c r="AK26" s="11">
        <v>421</v>
      </c>
      <c r="AL26" s="11">
        <v>702</v>
      </c>
      <c r="AM26" s="44">
        <v>4987</v>
      </c>
      <c r="AN26" s="44">
        <v>10</v>
      </c>
      <c r="AO26" s="44">
        <v>84.300000000000011</v>
      </c>
      <c r="AP26" s="44">
        <v>91.4</v>
      </c>
      <c r="AQ26" s="44">
        <v>266.57900000000001</v>
      </c>
      <c r="AR26" s="44">
        <v>87.821904495214881</v>
      </c>
      <c r="AS26" s="44">
        <v>595.9</v>
      </c>
      <c r="AT26" s="59">
        <v>1</v>
      </c>
      <c r="AU26" s="1">
        <v>2023</v>
      </c>
    </row>
  </sheetData>
  <mergeCells count="9">
    <mergeCell ref="AQ1:AS1"/>
    <mergeCell ref="AH1:AM1"/>
    <mergeCell ref="AN1:AP1"/>
    <mergeCell ref="AE1:AF1"/>
    <mergeCell ref="B1:F1"/>
    <mergeCell ref="G1:J1"/>
    <mergeCell ref="L1:R1"/>
    <mergeCell ref="S1:W1"/>
    <mergeCell ref="Y1:AD1"/>
  </mergeCells>
  <conditionalFormatting sqref="W25">
    <cfRule type="cellIs" dxfId="0" priority="1" operator="greaterThanOrEqual">
      <formula>200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A59A-89B0-41BF-BEC7-97DA045FE933}">
  <dimension ref="A1:F25"/>
  <sheetViews>
    <sheetView tabSelected="1" workbookViewId="0">
      <selection activeCell="F25" sqref="A1:F25"/>
    </sheetView>
  </sheetViews>
  <sheetFormatPr defaultRowHeight="14.4" x14ac:dyDescent="0.3"/>
  <cols>
    <col min="1" max="1" width="9" bestFit="1" customWidth="1"/>
    <col min="2" max="2" width="9.77734375" bestFit="1" customWidth="1"/>
  </cols>
  <sheetData>
    <row r="1" spans="1:6" ht="83.4" x14ac:dyDescent="0.3">
      <c r="A1" s="1" t="s">
        <v>0</v>
      </c>
      <c r="B1" s="2" t="s">
        <v>3</v>
      </c>
      <c r="C1" s="2" t="s">
        <v>350</v>
      </c>
      <c r="D1" s="2" t="s">
        <v>351</v>
      </c>
      <c r="E1" s="2" t="s">
        <v>352</v>
      </c>
      <c r="F1" s="2" t="s">
        <v>353</v>
      </c>
    </row>
    <row r="2" spans="1:6" x14ac:dyDescent="0.3">
      <c r="A2" s="1">
        <v>2000</v>
      </c>
      <c r="B2" s="5">
        <v>35891</v>
      </c>
      <c r="C2" s="2" t="s">
        <v>349</v>
      </c>
      <c r="D2" s="2" t="s">
        <v>349</v>
      </c>
      <c r="E2" s="2" t="s">
        <v>349</v>
      </c>
      <c r="F2" s="2" t="s">
        <v>349</v>
      </c>
    </row>
    <row r="3" spans="1:6" x14ac:dyDescent="0.3">
      <c r="A3" s="1">
        <v>2001</v>
      </c>
      <c r="B3" s="5">
        <v>53168.620999999999</v>
      </c>
      <c r="C3" s="74">
        <f>B3/B2*100</f>
        <v>148.13914630408738</v>
      </c>
      <c r="D3" s="74">
        <f>B3/$B$2*100</f>
        <v>148.13914630408738</v>
      </c>
      <c r="E3" s="74">
        <f>C3-100</f>
        <v>48.139146304087376</v>
      </c>
      <c r="F3" s="74">
        <f>D3-100</f>
        <v>48.139146304087376</v>
      </c>
    </row>
    <row r="4" spans="1:6" x14ac:dyDescent="0.3">
      <c r="A4" s="1">
        <v>2002</v>
      </c>
      <c r="B4" s="5">
        <v>76045.600712487692</v>
      </c>
      <c r="C4" s="74">
        <f t="shared" ref="C4:C25" si="0">B4/B3*100</f>
        <v>143.02722034578949</v>
      </c>
      <c r="D4" s="74">
        <f t="shared" ref="D4:D25" si="1">B4/$B$2*100</f>
        <v>211.87930320271852</v>
      </c>
      <c r="E4" s="74">
        <f t="shared" ref="E4:E25" si="2">C4-100</f>
        <v>43.027220345789488</v>
      </c>
      <c r="F4" s="74">
        <f t="shared" ref="F4:F25" si="3">D4-100</f>
        <v>111.87930320271852</v>
      </c>
    </row>
    <row r="5" spans="1:6" x14ac:dyDescent="0.3">
      <c r="A5" s="1">
        <v>2003</v>
      </c>
      <c r="B5" s="5">
        <v>111677.85689401023</v>
      </c>
      <c r="C5" s="74">
        <f t="shared" si="0"/>
        <v>146.85643330801022</v>
      </c>
      <c r="D5" s="74">
        <f t="shared" si="1"/>
        <v>311.15838760137706</v>
      </c>
      <c r="E5" s="74">
        <f t="shared" si="2"/>
        <v>46.856433308010224</v>
      </c>
      <c r="F5" s="74">
        <f t="shared" si="3"/>
        <v>211.15838760137706</v>
      </c>
    </row>
    <row r="6" spans="1:6" x14ac:dyDescent="0.3">
      <c r="A6" s="1">
        <v>2004</v>
      </c>
      <c r="B6" s="5">
        <v>117762.18257927168</v>
      </c>
      <c r="C6" s="74">
        <f t="shared" si="0"/>
        <v>105.44810390750594</v>
      </c>
      <c r="D6" s="74">
        <f t="shared" si="1"/>
        <v>328.11061987482009</v>
      </c>
      <c r="E6" s="74">
        <f t="shared" si="2"/>
        <v>5.4481039075059385</v>
      </c>
      <c r="F6" s="74">
        <f t="shared" si="3"/>
        <v>228.11061987482009</v>
      </c>
    </row>
    <row r="7" spans="1:6" x14ac:dyDescent="0.3">
      <c r="A7" s="1">
        <v>2005</v>
      </c>
      <c r="B7" s="5">
        <v>156854</v>
      </c>
      <c r="C7" s="74">
        <f t="shared" si="0"/>
        <v>133.19556122731814</v>
      </c>
      <c r="D7" s="74">
        <f t="shared" si="1"/>
        <v>437.02878158869913</v>
      </c>
      <c r="E7" s="74">
        <f t="shared" si="2"/>
        <v>33.195561227318137</v>
      </c>
      <c r="F7" s="74">
        <f t="shared" si="3"/>
        <v>337.02878158869913</v>
      </c>
    </row>
    <row r="8" spans="1:6" x14ac:dyDescent="0.3">
      <c r="A8" s="1">
        <v>2006</v>
      </c>
      <c r="B8" s="5">
        <v>193683.50451439974</v>
      </c>
      <c r="C8" s="74">
        <f t="shared" si="0"/>
        <v>123.48011814451638</v>
      </c>
      <c r="D8" s="74">
        <f t="shared" si="1"/>
        <v>539.64365583126619</v>
      </c>
      <c r="E8" s="74">
        <f t="shared" si="2"/>
        <v>23.480118144516382</v>
      </c>
      <c r="F8" s="74">
        <f t="shared" si="3"/>
        <v>439.64365583126619</v>
      </c>
    </row>
    <row r="9" spans="1:6" x14ac:dyDescent="0.3">
      <c r="A9" s="1">
        <v>2007</v>
      </c>
      <c r="B9" s="5">
        <v>303448.3913778885</v>
      </c>
      <c r="C9" s="74">
        <f t="shared" si="0"/>
        <v>156.67229490641941</v>
      </c>
      <c r="D9" s="74">
        <f t="shared" si="1"/>
        <v>845.47209990774434</v>
      </c>
      <c r="E9" s="74">
        <f t="shared" si="2"/>
        <v>56.67229490641941</v>
      </c>
      <c r="F9" s="74">
        <f t="shared" si="3"/>
        <v>745.47209990774434</v>
      </c>
    </row>
    <row r="10" spans="1:6" x14ac:dyDescent="0.3">
      <c r="A10" s="1">
        <v>2008</v>
      </c>
      <c r="B10" s="5">
        <v>372637</v>
      </c>
      <c r="C10" s="74">
        <f t="shared" si="0"/>
        <v>122.80078279800468</v>
      </c>
      <c r="D10" s="74">
        <f t="shared" si="1"/>
        <v>1038.2463570254381</v>
      </c>
      <c r="E10" s="74">
        <f t="shared" si="2"/>
        <v>22.800782798004676</v>
      </c>
      <c r="F10" s="74">
        <f t="shared" si="3"/>
        <v>938.2463570254381</v>
      </c>
    </row>
    <row r="11" spans="1:6" x14ac:dyDescent="0.3">
      <c r="A11" s="1">
        <v>2009</v>
      </c>
      <c r="B11" s="5">
        <v>334074</v>
      </c>
      <c r="C11" s="74">
        <f t="shared" si="0"/>
        <v>89.651322869172944</v>
      </c>
      <c r="D11" s="74">
        <f t="shared" si="1"/>
        <v>930.8015937143017</v>
      </c>
      <c r="E11" s="74">
        <f t="shared" si="2"/>
        <v>-10.348677130827056</v>
      </c>
      <c r="F11" s="74">
        <f t="shared" si="3"/>
        <v>830.8015937143017</v>
      </c>
    </row>
    <row r="12" spans="1:6" x14ac:dyDescent="0.3">
      <c r="A12" s="1">
        <v>2010</v>
      </c>
      <c r="B12" s="5">
        <v>401537</v>
      </c>
      <c r="C12" s="74">
        <f t="shared" si="0"/>
        <v>120.19402886785562</v>
      </c>
      <c r="D12" s="74">
        <f t="shared" si="1"/>
        <v>1118.767936251428</v>
      </c>
      <c r="E12" s="74">
        <f t="shared" si="2"/>
        <v>20.194028867855621</v>
      </c>
      <c r="F12" s="74">
        <f t="shared" si="3"/>
        <v>1018.767936251428</v>
      </c>
    </row>
    <row r="13" spans="1:6" x14ac:dyDescent="0.3">
      <c r="A13" s="1">
        <v>2011</v>
      </c>
      <c r="B13" s="5">
        <v>360368</v>
      </c>
      <c r="C13" s="74">
        <f t="shared" si="0"/>
        <v>89.74714658923088</v>
      </c>
      <c r="D13" s="74">
        <f t="shared" si="1"/>
        <v>1004.0622997408822</v>
      </c>
      <c r="E13" s="74">
        <f t="shared" si="2"/>
        <v>-10.25285341076912</v>
      </c>
      <c r="F13" s="74">
        <f t="shared" si="3"/>
        <v>904.06229974088217</v>
      </c>
    </row>
    <row r="14" spans="1:6" x14ac:dyDescent="0.3">
      <c r="A14" s="1">
        <v>2012</v>
      </c>
      <c r="B14" s="5">
        <v>352116</v>
      </c>
      <c r="C14" s="74">
        <f t="shared" si="0"/>
        <v>97.710118545486836</v>
      </c>
      <c r="D14" s="74">
        <f t="shared" si="1"/>
        <v>981.0704633473573</v>
      </c>
      <c r="E14" s="74">
        <f t="shared" si="2"/>
        <v>-2.2898814545131643</v>
      </c>
      <c r="F14" s="74">
        <f t="shared" si="3"/>
        <v>881.0704633473573</v>
      </c>
    </row>
    <row r="15" spans="1:6" x14ac:dyDescent="0.3">
      <c r="A15" s="1">
        <v>2013</v>
      </c>
      <c r="B15" s="5">
        <v>475149</v>
      </c>
      <c r="C15" s="74">
        <f t="shared" si="0"/>
        <v>134.94104215656205</v>
      </c>
      <c r="D15" s="74">
        <f t="shared" si="1"/>
        <v>1323.8667075311359</v>
      </c>
      <c r="E15" s="74">
        <f t="shared" si="2"/>
        <v>34.941042156562048</v>
      </c>
      <c r="F15" s="74">
        <f t="shared" si="3"/>
        <v>1223.8667075311359</v>
      </c>
    </row>
    <row r="16" spans="1:6" x14ac:dyDescent="0.3">
      <c r="A16" s="1">
        <v>2014</v>
      </c>
      <c r="B16" s="5">
        <v>523331</v>
      </c>
      <c r="C16" s="74">
        <f t="shared" si="0"/>
        <v>110.1403980646071</v>
      </c>
      <c r="D16" s="74">
        <f t="shared" si="1"/>
        <v>1458.112061519601</v>
      </c>
      <c r="E16" s="74">
        <f t="shared" si="2"/>
        <v>10.140398064607098</v>
      </c>
      <c r="F16" s="74">
        <f t="shared" si="3"/>
        <v>1358.112061519601</v>
      </c>
    </row>
    <row r="17" spans="1:6" x14ac:dyDescent="0.3">
      <c r="A17" s="1">
        <v>2015</v>
      </c>
      <c r="B17" s="5">
        <v>483423</v>
      </c>
      <c r="C17" s="74">
        <f t="shared" si="0"/>
        <v>92.374233515690833</v>
      </c>
      <c r="D17" s="74">
        <f t="shared" si="1"/>
        <v>1346.91984062857</v>
      </c>
      <c r="E17" s="74">
        <f t="shared" si="2"/>
        <v>-7.6257664843091675</v>
      </c>
      <c r="F17" s="74">
        <f t="shared" si="3"/>
        <v>1246.91984062857</v>
      </c>
    </row>
    <row r="18" spans="1:6" x14ac:dyDescent="0.3">
      <c r="A18" s="1">
        <v>2016</v>
      </c>
      <c r="B18" s="5">
        <v>678642.23499999999</v>
      </c>
      <c r="C18" s="74">
        <f t="shared" si="0"/>
        <v>140.38269486557323</v>
      </c>
      <c r="D18" s="74">
        <f t="shared" si="1"/>
        <v>1890.8423699534701</v>
      </c>
      <c r="E18" s="74">
        <f t="shared" si="2"/>
        <v>40.382694865573228</v>
      </c>
      <c r="F18" s="74">
        <f t="shared" si="3"/>
        <v>1790.8423699534701</v>
      </c>
    </row>
    <row r="19" spans="1:6" x14ac:dyDescent="0.3">
      <c r="A19" s="1">
        <v>2017</v>
      </c>
      <c r="B19" s="5">
        <v>672365.24300000002</v>
      </c>
      <c r="C19" s="74">
        <f t="shared" si="0"/>
        <v>99.075066113443413</v>
      </c>
      <c r="D19" s="74">
        <f t="shared" si="1"/>
        <v>1873.353328132401</v>
      </c>
      <c r="E19" s="74">
        <f t="shared" si="2"/>
        <v>-0.92493388655658748</v>
      </c>
      <c r="F19" s="74">
        <f t="shared" si="3"/>
        <v>1773.353328132401</v>
      </c>
    </row>
    <row r="20" spans="1:6" x14ac:dyDescent="0.3">
      <c r="A20" s="1">
        <v>2018</v>
      </c>
      <c r="B20" s="5">
        <v>852922.87</v>
      </c>
      <c r="C20" s="74">
        <f t="shared" si="0"/>
        <v>126.85409885174568</v>
      </c>
      <c r="D20" s="74">
        <f t="shared" si="1"/>
        <v>2376.4254827115433</v>
      </c>
      <c r="E20" s="74">
        <f t="shared" si="2"/>
        <v>26.854098851745675</v>
      </c>
      <c r="F20" s="74">
        <f t="shared" si="3"/>
        <v>2276.4254827115433</v>
      </c>
    </row>
    <row r="21" spans="1:6" x14ac:dyDescent="0.3">
      <c r="A21" s="1">
        <v>2019</v>
      </c>
      <c r="B21" s="5">
        <v>744094.79799999995</v>
      </c>
      <c r="C21" s="74">
        <f t="shared" si="0"/>
        <v>87.240572878530031</v>
      </c>
      <c r="D21" s="74">
        <f t="shared" si="1"/>
        <v>2073.2072051489231</v>
      </c>
      <c r="E21" s="74">
        <f t="shared" si="2"/>
        <v>-12.759427121469969</v>
      </c>
      <c r="F21" s="74">
        <f t="shared" si="3"/>
        <v>1973.2072051489231</v>
      </c>
    </row>
    <row r="22" spans="1:6" x14ac:dyDescent="0.3">
      <c r="A22" s="1">
        <v>2020</v>
      </c>
      <c r="B22" s="5">
        <v>765493.45900000003</v>
      </c>
      <c r="C22" s="74">
        <f t="shared" si="0"/>
        <v>102.87579768834777</v>
      </c>
      <c r="D22" s="74">
        <f t="shared" si="1"/>
        <v>2132.8284500292552</v>
      </c>
      <c r="E22" s="74">
        <f t="shared" si="2"/>
        <v>2.8757976883477738</v>
      </c>
      <c r="F22" s="74">
        <f t="shared" si="3"/>
        <v>2032.8284500292552</v>
      </c>
    </row>
    <row r="23" spans="1:6" x14ac:dyDescent="0.3">
      <c r="A23" s="1">
        <v>2021</v>
      </c>
      <c r="B23" s="5">
        <v>896715.83100000001</v>
      </c>
      <c r="C23" s="74">
        <f t="shared" si="0"/>
        <v>117.14219376497637</v>
      </c>
      <c r="D23" s="74">
        <f t="shared" si="1"/>
        <v>2498.4420356078126</v>
      </c>
      <c r="E23" s="74">
        <f t="shared" si="2"/>
        <v>17.142193764976369</v>
      </c>
      <c r="F23" s="74">
        <f t="shared" si="3"/>
        <v>2398.4420356078126</v>
      </c>
    </row>
    <row r="24" spans="1:6" x14ac:dyDescent="0.3">
      <c r="A24" s="1">
        <v>2022</v>
      </c>
      <c r="B24" s="5">
        <v>1050123.1610000001</v>
      </c>
      <c r="C24" s="74">
        <f t="shared" si="0"/>
        <v>117.10768614722942</v>
      </c>
      <c r="D24" s="74">
        <f t="shared" si="1"/>
        <v>2925.8676576300468</v>
      </c>
      <c r="E24" s="74">
        <f t="shared" si="2"/>
        <v>17.107686147229415</v>
      </c>
      <c r="F24" s="74">
        <f t="shared" si="3"/>
        <v>2825.8676576300468</v>
      </c>
    </row>
    <row r="25" spans="1:6" x14ac:dyDescent="0.3">
      <c r="A25" s="1">
        <v>2023</v>
      </c>
      <c r="B25" s="5">
        <v>1195595.0589999999</v>
      </c>
      <c r="C25" s="74">
        <f t="shared" si="0"/>
        <v>113.85284159064459</v>
      </c>
      <c r="D25" s="74">
        <f t="shared" si="1"/>
        <v>3331.1834693934406</v>
      </c>
      <c r="E25" s="74">
        <f t="shared" si="2"/>
        <v>13.852841590644587</v>
      </c>
      <c r="F25" s="74">
        <f t="shared" si="3"/>
        <v>3231.1834693934406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6411-7FC5-4ACE-B0F3-974FE8C75D84}">
  <dimension ref="A1:AK25"/>
  <sheetViews>
    <sheetView workbookViewId="0">
      <selection activeCell="AK25" sqref="B2:AK25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173</v>
      </c>
      <c r="D1" t="s">
        <v>174</v>
      </c>
      <c r="E1" t="s">
        <v>5</v>
      </c>
      <c r="F1" t="s">
        <v>6</v>
      </c>
      <c r="G1" t="s">
        <v>7</v>
      </c>
      <c r="H1" t="s">
        <v>8</v>
      </c>
      <c r="I1" t="s">
        <v>175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18</v>
      </c>
      <c r="Q1" t="s">
        <v>168</v>
      </c>
      <c r="R1" t="s">
        <v>19</v>
      </c>
      <c r="S1" t="s">
        <v>20</v>
      </c>
      <c r="T1" t="s">
        <v>169</v>
      </c>
      <c r="U1" t="s">
        <v>23</v>
      </c>
      <c r="V1" t="s">
        <v>170</v>
      </c>
      <c r="W1" t="s">
        <v>171</v>
      </c>
      <c r="X1" t="s">
        <v>26</v>
      </c>
      <c r="Y1" t="s">
        <v>27</v>
      </c>
      <c r="Z1" t="s">
        <v>172</v>
      </c>
      <c r="AA1" t="s">
        <v>31</v>
      </c>
      <c r="AB1" t="s">
        <v>32</v>
      </c>
      <c r="AC1" t="s">
        <v>33</v>
      </c>
      <c r="AD1" t="s">
        <v>30</v>
      </c>
      <c r="AE1" t="s">
        <v>153</v>
      </c>
      <c r="AF1" t="s">
        <v>156</v>
      </c>
      <c r="AG1" t="s">
        <v>158</v>
      </c>
      <c r="AH1" t="s">
        <v>159</v>
      </c>
      <c r="AI1" t="s">
        <v>163</v>
      </c>
      <c r="AJ1" t="s">
        <v>164</v>
      </c>
      <c r="AK1" t="s">
        <v>165</v>
      </c>
    </row>
    <row r="2" spans="1:37" x14ac:dyDescent="0.3">
      <c r="A2">
        <v>2000</v>
      </c>
      <c r="B2">
        <v>80.2</v>
      </c>
      <c r="C2">
        <v>67598.944037512221</v>
      </c>
      <c r="D2">
        <v>319656.61402507924</v>
      </c>
      <c r="E2">
        <v>73.616011212638114</v>
      </c>
      <c r="F2">
        <v>6.5474720067976468</v>
      </c>
      <c r="G2">
        <v>2452</v>
      </c>
      <c r="H2">
        <v>49.7</v>
      </c>
      <c r="I2">
        <v>18819.047266306105</v>
      </c>
      <c r="J2">
        <v>82.7</v>
      </c>
      <c r="K2">
        <v>7.9</v>
      </c>
      <c r="L2">
        <v>3.7</v>
      </c>
      <c r="M2">
        <v>5.7</v>
      </c>
      <c r="N2">
        <v>-9.1999999999999993</v>
      </c>
      <c r="O2">
        <v>180.3</v>
      </c>
      <c r="P2">
        <v>218681</v>
      </c>
      <c r="Q2">
        <v>270066.24243076198</v>
      </c>
      <c r="R2">
        <v>67.400000000000006</v>
      </c>
      <c r="S2">
        <v>102</v>
      </c>
      <c r="T2">
        <v>337240.35515989613</v>
      </c>
      <c r="U2">
        <v>110.1</v>
      </c>
      <c r="V2">
        <v>1222099.8450308463</v>
      </c>
      <c r="W2">
        <v>3988319.8855797462</v>
      </c>
      <c r="X2">
        <v>228.59741138651557</v>
      </c>
      <c r="Y2">
        <v>3.2127146603502243</v>
      </c>
      <c r="Z2">
        <v>47345.046394476922</v>
      </c>
      <c r="AA2">
        <v>678</v>
      </c>
      <c r="AB2">
        <v>1302</v>
      </c>
      <c r="AC2">
        <v>64</v>
      </c>
      <c r="AD2">
        <v>198</v>
      </c>
      <c r="AE2">
        <v>3691</v>
      </c>
      <c r="AF2">
        <v>39</v>
      </c>
      <c r="AG2">
        <v>101.3</v>
      </c>
      <c r="AH2">
        <v>74.5</v>
      </c>
      <c r="AI2">
        <v>135.5</v>
      </c>
      <c r="AJ2">
        <v>73.3</v>
      </c>
      <c r="AK2">
        <v>514.70000000000005</v>
      </c>
    </row>
    <row r="3" spans="1:37" x14ac:dyDescent="0.3">
      <c r="A3">
        <v>2001</v>
      </c>
      <c r="B3">
        <v>143.19999999999999</v>
      </c>
      <c r="C3">
        <v>83376.381772060296</v>
      </c>
      <c r="D3">
        <v>392004.48094906297</v>
      </c>
      <c r="E3">
        <v>75.276228122764294</v>
      </c>
      <c r="F3">
        <v>4.1106713707938729</v>
      </c>
      <c r="G3">
        <v>2466</v>
      </c>
      <c r="H3">
        <v>52.3</v>
      </c>
      <c r="I3">
        <v>20680.855519313198</v>
      </c>
      <c r="J3">
        <v>81.900000000000006</v>
      </c>
      <c r="K3">
        <v>7.7</v>
      </c>
      <c r="L3">
        <v>5.2</v>
      </c>
      <c r="M3">
        <v>5.2</v>
      </c>
      <c r="N3">
        <v>0</v>
      </c>
      <c r="O3">
        <v>168.1</v>
      </c>
      <c r="P3">
        <v>247372</v>
      </c>
      <c r="Q3">
        <v>256413.11702341333</v>
      </c>
      <c r="R3">
        <v>125.5</v>
      </c>
      <c r="S3">
        <v>107</v>
      </c>
      <c r="T3">
        <v>382026.64277713699</v>
      </c>
      <c r="U3">
        <v>104.6</v>
      </c>
      <c r="V3">
        <v>1346148.9576670725</v>
      </c>
      <c r="W3">
        <v>3924400.617915676</v>
      </c>
      <c r="X3">
        <v>237.83392887527648</v>
      </c>
      <c r="Y3">
        <v>3.2284754126254889</v>
      </c>
      <c r="Z3">
        <v>113299.39824469796</v>
      </c>
      <c r="AA3">
        <v>677</v>
      </c>
      <c r="AB3">
        <v>1143</v>
      </c>
      <c r="AC3">
        <v>69</v>
      </c>
      <c r="AD3">
        <v>200</v>
      </c>
      <c r="AE3">
        <v>3665</v>
      </c>
      <c r="AF3">
        <v>37</v>
      </c>
      <c r="AG3">
        <v>100.2</v>
      </c>
      <c r="AH3">
        <v>74.7</v>
      </c>
      <c r="AI3">
        <v>133.1</v>
      </c>
      <c r="AJ3">
        <v>74.2</v>
      </c>
      <c r="AK3">
        <v>492.6</v>
      </c>
    </row>
    <row r="4" spans="1:37" x14ac:dyDescent="0.3">
      <c r="A4">
        <v>2002</v>
      </c>
      <c r="B4">
        <v>125.79350953895292</v>
      </c>
      <c r="C4">
        <v>98780.551847948562</v>
      </c>
      <c r="D4">
        <v>461546.695579188</v>
      </c>
      <c r="E4">
        <v>77.366948232733066</v>
      </c>
      <c r="F4">
        <v>3.4226612858652659</v>
      </c>
      <c r="G4">
        <v>2543</v>
      </c>
      <c r="H4">
        <v>56</v>
      </c>
      <c r="I4">
        <v>21940.668347495561</v>
      </c>
      <c r="J4">
        <v>80.099999999999994</v>
      </c>
      <c r="K4">
        <v>8.3000000000000007</v>
      </c>
      <c r="L4">
        <v>6</v>
      </c>
      <c r="M4">
        <v>5.6</v>
      </c>
      <c r="N4">
        <v>-8</v>
      </c>
      <c r="O4">
        <v>190.6</v>
      </c>
      <c r="P4">
        <v>275381</v>
      </c>
      <c r="Q4">
        <v>146623.14410478499</v>
      </c>
      <c r="R4">
        <v>88</v>
      </c>
      <c r="S4">
        <v>129.6</v>
      </c>
      <c r="T4">
        <v>404301.27222671232</v>
      </c>
      <c r="U4">
        <v>117.5</v>
      </c>
      <c r="V4">
        <v>1429082.8245182466</v>
      </c>
      <c r="W4">
        <v>4162068.9187552207</v>
      </c>
      <c r="X4">
        <v>259.75943840424628</v>
      </c>
      <c r="Y4">
        <v>3.4361356048283538</v>
      </c>
      <c r="Z4">
        <v>65299.349189611705</v>
      </c>
      <c r="AA4">
        <v>669</v>
      </c>
      <c r="AB4">
        <v>1197</v>
      </c>
      <c r="AC4">
        <v>69</v>
      </c>
      <c r="AD4">
        <v>203</v>
      </c>
      <c r="AE4">
        <v>3689</v>
      </c>
      <c r="AF4">
        <v>36</v>
      </c>
      <c r="AG4">
        <v>101.1</v>
      </c>
      <c r="AH4">
        <v>76.2</v>
      </c>
      <c r="AI4">
        <v>130.69999999999999</v>
      </c>
      <c r="AJ4">
        <v>73.599999999999994</v>
      </c>
      <c r="AK4">
        <v>465.2</v>
      </c>
    </row>
    <row r="5" spans="1:37" x14ac:dyDescent="0.3">
      <c r="A5">
        <v>2003</v>
      </c>
      <c r="B5">
        <v>135.47641449078432</v>
      </c>
      <c r="C5">
        <v>125639.37258251221</v>
      </c>
      <c r="D5">
        <v>585386.00054130552</v>
      </c>
      <c r="E5">
        <v>76.069106670394078</v>
      </c>
      <c r="F5">
        <v>4.2290417006770706</v>
      </c>
      <c r="G5">
        <v>2512</v>
      </c>
      <c r="H5">
        <v>65</v>
      </c>
      <c r="I5">
        <v>23058.402874127121</v>
      </c>
      <c r="J5">
        <v>64.5</v>
      </c>
      <c r="K5">
        <v>9.3000000000000007</v>
      </c>
      <c r="L5">
        <v>6.4</v>
      </c>
      <c r="M5">
        <v>19.8</v>
      </c>
      <c r="N5">
        <v>-0.5</v>
      </c>
      <c r="O5">
        <v>199.8</v>
      </c>
      <c r="P5">
        <v>305145</v>
      </c>
      <c r="Q5">
        <v>196481.28514066403</v>
      </c>
      <c r="R5">
        <v>280</v>
      </c>
      <c r="S5">
        <v>111.4</v>
      </c>
      <c r="T5">
        <v>404857.12081598799</v>
      </c>
      <c r="U5">
        <v>108.5</v>
      </c>
      <c r="V5">
        <v>1495805.7756248803</v>
      </c>
      <c r="W5">
        <v>4965209.5545584327</v>
      </c>
      <c r="X5">
        <v>377.29199683382927</v>
      </c>
      <c r="Y5">
        <v>5.0083103396765489</v>
      </c>
      <c r="Z5">
        <v>34779.376419440661</v>
      </c>
      <c r="AA5">
        <v>602.80010370754462</v>
      </c>
      <c r="AB5">
        <v>1316</v>
      </c>
      <c r="AC5">
        <v>92</v>
      </c>
      <c r="AD5">
        <v>203</v>
      </c>
      <c r="AE5">
        <v>4037</v>
      </c>
      <c r="AF5">
        <v>33</v>
      </c>
      <c r="AG5">
        <v>99.5</v>
      </c>
      <c r="AH5">
        <v>77.3</v>
      </c>
      <c r="AI5">
        <v>131.6</v>
      </c>
      <c r="AJ5">
        <v>69.915826168283886</v>
      </c>
      <c r="AK5">
        <v>436.2</v>
      </c>
    </row>
    <row r="6" spans="1:37" x14ac:dyDescent="0.3">
      <c r="A6">
        <v>2004</v>
      </c>
      <c r="B6">
        <v>93.648404891213076</v>
      </c>
      <c r="C6">
        <v>116184.35186038505</v>
      </c>
      <c r="D6">
        <v>543076.33326433087</v>
      </c>
      <c r="E6">
        <v>77.730403700303171</v>
      </c>
      <c r="F6">
        <v>2.7496479075760747</v>
      </c>
      <c r="G6">
        <v>2564</v>
      </c>
      <c r="H6">
        <v>71.8</v>
      </c>
      <c r="I6">
        <v>26987.294500282685</v>
      </c>
      <c r="J6">
        <v>64.599999999999994</v>
      </c>
      <c r="K6">
        <v>9.1</v>
      </c>
      <c r="L6">
        <v>5.5</v>
      </c>
      <c r="M6">
        <v>20.8</v>
      </c>
      <c r="N6">
        <v>1.9</v>
      </c>
      <c r="O6">
        <v>205.2</v>
      </c>
      <c r="P6">
        <v>333501</v>
      </c>
      <c r="Q6">
        <v>256637.54937469776</v>
      </c>
      <c r="R6">
        <v>160</v>
      </c>
      <c r="S6">
        <v>113.7</v>
      </c>
      <c r="T6">
        <v>439461.25121495867</v>
      </c>
      <c r="U6">
        <v>107.1</v>
      </c>
      <c r="V6">
        <v>1748869.8386676866</v>
      </c>
      <c r="W6">
        <v>4734706.840159215</v>
      </c>
      <c r="X6">
        <v>434.7208458914601</v>
      </c>
      <c r="Y6">
        <v>5.9162255276980504</v>
      </c>
      <c r="Z6">
        <v>35676.251487681147</v>
      </c>
      <c r="AA6">
        <v>575.72700215477767</v>
      </c>
      <c r="AB6">
        <v>1473</v>
      </c>
      <c r="AC6">
        <v>78</v>
      </c>
      <c r="AD6">
        <v>203</v>
      </c>
      <c r="AE6">
        <v>3843</v>
      </c>
      <c r="AF6">
        <v>32</v>
      </c>
      <c r="AG6">
        <v>97.5</v>
      </c>
      <c r="AH6">
        <v>78.8</v>
      </c>
      <c r="AI6">
        <v>134.6</v>
      </c>
      <c r="AJ6">
        <v>67.596188141442653</v>
      </c>
      <c r="AK6">
        <v>408.2</v>
      </c>
    </row>
    <row r="7" spans="1:37" x14ac:dyDescent="0.3">
      <c r="A7">
        <v>2005</v>
      </c>
      <c r="B7">
        <v>107.1</v>
      </c>
      <c r="C7">
        <v>138799.96220299721</v>
      </c>
      <c r="D7">
        <v>652324.472550979</v>
      </c>
      <c r="E7">
        <v>78.091395422139229</v>
      </c>
      <c r="F7">
        <v>2.2095201691996817</v>
      </c>
      <c r="G7">
        <v>2620</v>
      </c>
      <c r="H7">
        <v>73.900000000000006</v>
      </c>
      <c r="I7">
        <v>32060.192018663834</v>
      </c>
      <c r="J7">
        <v>62.9</v>
      </c>
      <c r="K7">
        <v>10.1</v>
      </c>
      <c r="L7">
        <v>4.4000000000000004</v>
      </c>
      <c r="M7">
        <v>22.6</v>
      </c>
      <c r="N7">
        <v>3.6</v>
      </c>
      <c r="O7">
        <v>213.7</v>
      </c>
      <c r="P7">
        <v>368991</v>
      </c>
      <c r="Q7">
        <v>260831.64133176269</v>
      </c>
      <c r="R7">
        <v>340</v>
      </c>
      <c r="S7">
        <v>105.7</v>
      </c>
      <c r="T7">
        <v>593537.74998257554</v>
      </c>
      <c r="U7">
        <v>108.3</v>
      </c>
      <c r="V7">
        <v>2150914.4980238243</v>
      </c>
      <c r="W7">
        <v>4624540.2597797355</v>
      </c>
      <c r="X7">
        <v>484</v>
      </c>
      <c r="Y7">
        <v>7.1</v>
      </c>
      <c r="Z7">
        <v>43296.185159708431</v>
      </c>
      <c r="AA7">
        <v>563</v>
      </c>
      <c r="AB7">
        <v>1399</v>
      </c>
      <c r="AC7">
        <v>78</v>
      </c>
      <c r="AD7">
        <v>152</v>
      </c>
      <c r="AE7">
        <v>3573</v>
      </c>
      <c r="AF7">
        <v>28</v>
      </c>
      <c r="AG7">
        <v>97.6</v>
      </c>
      <c r="AH7">
        <v>80</v>
      </c>
      <c r="AI7">
        <v>139.6</v>
      </c>
      <c r="AJ7">
        <v>66.900000000000006</v>
      </c>
      <c r="AK7">
        <v>382.2</v>
      </c>
    </row>
    <row r="8" spans="1:37" x14ac:dyDescent="0.3">
      <c r="A8">
        <v>2006</v>
      </c>
      <c r="B8">
        <v>113.70196681792368</v>
      </c>
      <c r="C8">
        <v>151117.00093423165</v>
      </c>
      <c r="D8">
        <v>714814.60585129738</v>
      </c>
      <c r="E8">
        <v>80.360246491704487</v>
      </c>
      <c r="F8">
        <v>2.322806260322781</v>
      </c>
      <c r="G8">
        <v>2725</v>
      </c>
      <c r="H8">
        <v>80</v>
      </c>
      <c r="I8">
        <v>34614.44073457933</v>
      </c>
      <c r="J8">
        <v>68.5</v>
      </c>
      <c r="K8">
        <v>10.8</v>
      </c>
      <c r="L8">
        <v>5.5</v>
      </c>
      <c r="M8">
        <v>15.2</v>
      </c>
      <c r="N8">
        <v>-0.8</v>
      </c>
      <c r="O8">
        <v>232.6</v>
      </c>
      <c r="P8">
        <v>393399</v>
      </c>
      <c r="Q8">
        <v>761167.08608826576</v>
      </c>
      <c r="R8">
        <v>85.7</v>
      </c>
      <c r="S8">
        <v>98</v>
      </c>
      <c r="T8">
        <v>804922.11594400229</v>
      </c>
      <c r="U8">
        <v>108.3</v>
      </c>
      <c r="V8">
        <v>2357602.8816149528</v>
      </c>
      <c r="W8">
        <v>5242200.0128458925</v>
      </c>
      <c r="X8">
        <v>502.2407076907075</v>
      </c>
      <c r="Y8">
        <v>7.2358432050047758</v>
      </c>
      <c r="Z8">
        <v>153897.52334061102</v>
      </c>
      <c r="AA8">
        <v>517.61003018475742</v>
      </c>
      <c r="AB8">
        <v>1585</v>
      </c>
      <c r="AC8">
        <v>86</v>
      </c>
      <c r="AD8">
        <v>202</v>
      </c>
      <c r="AE8">
        <v>3861.8858137559455</v>
      </c>
      <c r="AF8">
        <v>27</v>
      </c>
      <c r="AG8">
        <v>97.5</v>
      </c>
      <c r="AH8">
        <v>80.400000000000006</v>
      </c>
      <c r="AI8">
        <v>146.80000000000001</v>
      </c>
      <c r="AJ8">
        <v>67.751270370934463</v>
      </c>
      <c r="AK8">
        <v>361.6</v>
      </c>
    </row>
    <row r="9" spans="1:37" x14ac:dyDescent="0.3">
      <c r="A9">
        <v>2007</v>
      </c>
      <c r="B9">
        <v>141.91331060364072</v>
      </c>
      <c r="C9">
        <v>214705.09305896287</v>
      </c>
      <c r="D9">
        <v>1021181.8890037247</v>
      </c>
      <c r="E9">
        <v>81.152444277763408</v>
      </c>
      <c r="F9">
        <v>2.2323562460270874</v>
      </c>
      <c r="G9">
        <v>2812</v>
      </c>
      <c r="H9">
        <v>84.3</v>
      </c>
      <c r="I9">
        <v>39474.467152790879</v>
      </c>
      <c r="J9">
        <v>72.3</v>
      </c>
      <c r="K9">
        <v>12.2</v>
      </c>
      <c r="L9">
        <v>4.5</v>
      </c>
      <c r="M9">
        <v>11</v>
      </c>
      <c r="N9">
        <v>-4.5999999999999996</v>
      </c>
      <c r="O9">
        <v>255</v>
      </c>
      <c r="P9">
        <v>414080</v>
      </c>
      <c r="Q9">
        <v>958950.23546382587</v>
      </c>
      <c r="R9">
        <v>89</v>
      </c>
      <c r="S9">
        <v>110.1</v>
      </c>
      <c r="T9">
        <v>946533.10938536318</v>
      </c>
      <c r="U9">
        <v>113.1</v>
      </c>
      <c r="V9">
        <v>2730529.6591317477</v>
      </c>
      <c r="W9">
        <v>5856136.4772044215</v>
      </c>
      <c r="X9">
        <v>554.41237103431376</v>
      </c>
      <c r="Y9">
        <v>8.0002825781131897</v>
      </c>
      <c r="Z9">
        <v>69442.452509955649</v>
      </c>
      <c r="AA9">
        <v>511.73130185460809</v>
      </c>
      <c r="AB9">
        <v>1714</v>
      </c>
      <c r="AC9">
        <v>79</v>
      </c>
      <c r="AD9">
        <v>180</v>
      </c>
      <c r="AE9">
        <v>3849.8744903239071</v>
      </c>
      <c r="AF9">
        <v>26</v>
      </c>
      <c r="AG9">
        <v>94.9</v>
      </c>
      <c r="AH9">
        <v>79.099999999999994</v>
      </c>
      <c r="AI9">
        <v>157.4</v>
      </c>
      <c r="AJ9">
        <v>71.608010481684346</v>
      </c>
      <c r="AK9">
        <v>347.8</v>
      </c>
    </row>
    <row r="10" spans="1:37" x14ac:dyDescent="0.3">
      <c r="A10">
        <v>2008</v>
      </c>
      <c r="B10">
        <v>101.5</v>
      </c>
      <c r="C10">
        <v>240578.17627626652</v>
      </c>
      <c r="D10">
        <v>1150399.4696778967</v>
      </c>
      <c r="E10">
        <v>81.995457019459096</v>
      </c>
      <c r="F10">
        <v>2.1424505926299293</v>
      </c>
      <c r="G10">
        <v>2809</v>
      </c>
      <c r="H10">
        <v>84.7</v>
      </c>
      <c r="I10">
        <v>46057.717532409661</v>
      </c>
      <c r="J10">
        <v>88</v>
      </c>
      <c r="K10">
        <v>18.5</v>
      </c>
      <c r="L10">
        <v>13.1</v>
      </c>
      <c r="M10">
        <v>-19.600000000000001</v>
      </c>
      <c r="N10">
        <v>-28.3</v>
      </c>
      <c r="O10">
        <v>272.2</v>
      </c>
      <c r="P10">
        <v>429540</v>
      </c>
      <c r="Q10">
        <v>833950.627400122</v>
      </c>
      <c r="R10">
        <v>84.2</v>
      </c>
      <c r="S10">
        <v>103.6</v>
      </c>
      <c r="T10">
        <v>1059270.3903173206</v>
      </c>
      <c r="U10">
        <v>109.3</v>
      </c>
      <c r="V10">
        <v>3175221.6399199762</v>
      </c>
      <c r="W10">
        <v>6191461.2634277595</v>
      </c>
      <c r="X10">
        <v>671.63147516546633</v>
      </c>
      <c r="Y10">
        <v>10.048540410294139</v>
      </c>
      <c r="Z10">
        <v>66729.053416505136</v>
      </c>
      <c r="AA10">
        <v>523.73703649408208</v>
      </c>
      <c r="AB10">
        <v>1737</v>
      </c>
      <c r="AC10">
        <v>106</v>
      </c>
      <c r="AD10">
        <v>84</v>
      </c>
      <c r="AE10">
        <v>3762.9012907093984</v>
      </c>
      <c r="AF10">
        <v>25</v>
      </c>
      <c r="AG10">
        <v>91.8</v>
      </c>
      <c r="AH10">
        <v>80.900000000000006</v>
      </c>
      <c r="AI10">
        <v>163.69999999999999</v>
      </c>
      <c r="AJ10">
        <v>72.036408610953401</v>
      </c>
      <c r="AK10">
        <v>343.1</v>
      </c>
    </row>
    <row r="11" spans="1:37" x14ac:dyDescent="0.3">
      <c r="A11">
        <v>2009</v>
      </c>
      <c r="B11">
        <v>83.3</v>
      </c>
      <c r="C11">
        <v>187678.28337050375</v>
      </c>
      <c r="D11">
        <v>903813.33466027118</v>
      </c>
      <c r="E11">
        <v>80.546469267756251</v>
      </c>
      <c r="F11">
        <v>4.1741578742933525</v>
      </c>
      <c r="G11">
        <v>2847</v>
      </c>
      <c r="H11">
        <v>90.1</v>
      </c>
      <c r="I11">
        <v>43151.585241088273</v>
      </c>
      <c r="J11">
        <v>74</v>
      </c>
      <c r="K11">
        <v>13.8</v>
      </c>
      <c r="L11">
        <v>6.4</v>
      </c>
      <c r="M11">
        <v>5.8</v>
      </c>
      <c r="N11">
        <v>-15.4</v>
      </c>
      <c r="O11">
        <v>277.8</v>
      </c>
      <c r="P11">
        <v>450901</v>
      </c>
      <c r="Q11">
        <v>700462.50374734576</v>
      </c>
      <c r="R11">
        <v>35.9</v>
      </c>
      <c r="S11">
        <v>83.4</v>
      </c>
      <c r="T11">
        <v>865186.57865527819</v>
      </c>
      <c r="U11">
        <v>94.3</v>
      </c>
      <c r="V11">
        <v>2914367.7058698074</v>
      </c>
      <c r="W11">
        <v>6260510.444204798</v>
      </c>
      <c r="X11">
        <v>540.56119355379951</v>
      </c>
      <c r="Y11">
        <v>8.0963740537271978</v>
      </c>
      <c r="Z11">
        <v>133366.36873848463</v>
      </c>
      <c r="AA11">
        <v>506.17392647769725</v>
      </c>
      <c r="AB11">
        <v>1666</v>
      </c>
      <c r="AC11">
        <v>122</v>
      </c>
      <c r="AD11">
        <v>134</v>
      </c>
      <c r="AE11">
        <v>3539.5212694383586</v>
      </c>
      <c r="AF11">
        <v>22</v>
      </c>
      <c r="AG11">
        <v>91.8</v>
      </c>
      <c r="AH11">
        <v>83.2</v>
      </c>
      <c r="AI11">
        <v>169.2</v>
      </c>
      <c r="AJ11">
        <v>72.08474244192486</v>
      </c>
      <c r="AK11">
        <v>345</v>
      </c>
    </row>
    <row r="12" spans="1:37" x14ac:dyDescent="0.3">
      <c r="A12">
        <v>2010</v>
      </c>
      <c r="B12">
        <v>113.9</v>
      </c>
      <c r="C12">
        <v>199956.91241686977</v>
      </c>
      <c r="D12">
        <v>973001.02694118419</v>
      </c>
      <c r="E12">
        <v>80.128245476887756</v>
      </c>
      <c r="F12">
        <v>2.7696437170393882</v>
      </c>
      <c r="G12">
        <v>2807</v>
      </c>
      <c r="H12">
        <v>93.2</v>
      </c>
      <c r="I12">
        <v>43481.747453989563</v>
      </c>
      <c r="J12">
        <v>72.3</v>
      </c>
      <c r="K12">
        <v>12.3</v>
      </c>
      <c r="L12">
        <v>7.1</v>
      </c>
      <c r="M12">
        <v>8.3000000000000007</v>
      </c>
      <c r="N12">
        <v>-10.5</v>
      </c>
      <c r="O12">
        <v>281</v>
      </c>
      <c r="P12">
        <v>374459</v>
      </c>
      <c r="Q12">
        <v>841237.56842813594</v>
      </c>
      <c r="R12">
        <v>145.6</v>
      </c>
      <c r="S12">
        <v>107.8</v>
      </c>
      <c r="T12">
        <v>852016.16633551952</v>
      </c>
      <c r="U12">
        <v>105.5</v>
      </c>
      <c r="V12">
        <v>2981915.6735912571</v>
      </c>
      <c r="W12">
        <v>6387355.7802693024</v>
      </c>
      <c r="X12">
        <v>546</v>
      </c>
      <c r="Y12">
        <v>8.8000000000000007</v>
      </c>
      <c r="Z12">
        <v>204696.19026297503</v>
      </c>
      <c r="AA12">
        <v>517</v>
      </c>
      <c r="AB12">
        <v>1573</v>
      </c>
      <c r="AC12">
        <v>140</v>
      </c>
      <c r="AD12">
        <v>346</v>
      </c>
      <c r="AE12">
        <v>3669</v>
      </c>
      <c r="AF12">
        <v>20</v>
      </c>
      <c r="AG12">
        <v>89.3</v>
      </c>
      <c r="AH12">
        <v>84.8</v>
      </c>
      <c r="AI12">
        <v>177.7</v>
      </c>
      <c r="AJ12">
        <v>75.2</v>
      </c>
      <c r="AK12">
        <v>350.9</v>
      </c>
    </row>
    <row r="13" spans="1:37" x14ac:dyDescent="0.3">
      <c r="A13">
        <v>2011</v>
      </c>
      <c r="B13">
        <v>87.133128044315612</v>
      </c>
      <c r="C13">
        <v>165535.64734145399</v>
      </c>
      <c r="D13">
        <v>817263.10328302777</v>
      </c>
      <c r="E13">
        <v>80.521630718594821</v>
      </c>
      <c r="F13">
        <v>2.0842344332220795</v>
      </c>
      <c r="G13">
        <v>2858</v>
      </c>
      <c r="H13">
        <v>91.4</v>
      </c>
      <c r="I13">
        <v>44821.926401028286</v>
      </c>
      <c r="J13">
        <v>75.8</v>
      </c>
      <c r="K13">
        <v>13.1</v>
      </c>
      <c r="L13">
        <v>10.1</v>
      </c>
      <c r="M13">
        <v>1</v>
      </c>
      <c r="N13">
        <v>-16</v>
      </c>
      <c r="O13">
        <v>287.60251137027439</v>
      </c>
      <c r="P13">
        <v>367457</v>
      </c>
      <c r="Q13">
        <v>1124172.195564507</v>
      </c>
      <c r="R13">
        <v>116.3</v>
      </c>
      <c r="S13">
        <v>114.6</v>
      </c>
      <c r="T13">
        <v>919902.91081292753</v>
      </c>
      <c r="U13">
        <v>108.3</v>
      </c>
      <c r="V13">
        <v>3132113.7626201981</v>
      </c>
      <c r="W13">
        <v>7356447.429494977</v>
      </c>
      <c r="X13">
        <v>548</v>
      </c>
      <c r="Y13">
        <v>9.1</v>
      </c>
      <c r="Z13">
        <v>299128.09203682805</v>
      </c>
      <c r="AA13">
        <v>548.96821603052831</v>
      </c>
      <c r="AB13">
        <v>1649</v>
      </c>
      <c r="AC13">
        <v>171</v>
      </c>
      <c r="AD13">
        <v>238</v>
      </c>
      <c r="AE13">
        <v>3911.3200515284339</v>
      </c>
      <c r="AF13">
        <v>20</v>
      </c>
      <c r="AG13">
        <v>94.4</v>
      </c>
      <c r="AH13">
        <v>86.8</v>
      </c>
      <c r="AI13">
        <v>189</v>
      </c>
      <c r="AJ13">
        <v>78.210933231793121</v>
      </c>
      <c r="AK13">
        <v>365</v>
      </c>
    </row>
    <row r="14" spans="1:37" x14ac:dyDescent="0.3">
      <c r="A14">
        <v>2012</v>
      </c>
      <c r="B14">
        <v>92.616352136788407</v>
      </c>
      <c r="C14">
        <v>146599.25537952795</v>
      </c>
      <c r="D14">
        <v>736393.65586922748</v>
      </c>
      <c r="E14">
        <v>81.365955124858189</v>
      </c>
      <c r="F14">
        <v>1.1980050173862402</v>
      </c>
      <c r="G14">
        <v>2896</v>
      </c>
      <c r="H14">
        <v>90.3</v>
      </c>
      <c r="I14">
        <v>46356.603437495869</v>
      </c>
      <c r="J14">
        <v>79.599999999999994</v>
      </c>
      <c r="K14">
        <v>14.2</v>
      </c>
      <c r="L14">
        <v>10.8</v>
      </c>
      <c r="M14">
        <v>-4.5999999999999996</v>
      </c>
      <c r="N14">
        <v>-21.5</v>
      </c>
      <c r="O14">
        <v>286.29303378974981</v>
      </c>
      <c r="P14">
        <v>348481</v>
      </c>
      <c r="Q14">
        <v>991317.33068712684</v>
      </c>
      <c r="R14">
        <v>108</v>
      </c>
      <c r="S14">
        <v>104.7</v>
      </c>
      <c r="T14">
        <v>794482.87596939108</v>
      </c>
      <c r="U14">
        <v>104.3</v>
      </c>
      <c r="V14">
        <v>3249988.1446841257</v>
      </c>
      <c r="W14">
        <v>7795026.201531508</v>
      </c>
      <c r="X14">
        <v>513</v>
      </c>
      <c r="Y14">
        <v>8.3000000000000007</v>
      </c>
      <c r="Z14">
        <v>466736.48516195023</v>
      </c>
      <c r="AA14">
        <v>583.43496214152697</v>
      </c>
      <c r="AB14">
        <v>1634</v>
      </c>
      <c r="AC14">
        <v>190</v>
      </c>
      <c r="AD14">
        <v>357</v>
      </c>
      <c r="AE14">
        <v>3838.0054714322514</v>
      </c>
      <c r="AF14">
        <v>20</v>
      </c>
      <c r="AG14">
        <v>91.2</v>
      </c>
      <c r="AH14">
        <v>79.900000000000006</v>
      </c>
      <c r="AI14">
        <v>199.3</v>
      </c>
      <c r="AJ14">
        <v>77.426950575069938</v>
      </c>
      <c r="AK14">
        <v>378.4</v>
      </c>
    </row>
    <row r="15" spans="1:37" x14ac:dyDescent="0.3">
      <c r="A15">
        <v>2013</v>
      </c>
      <c r="B15">
        <v>127.4</v>
      </c>
      <c r="C15">
        <v>184218.7566973982</v>
      </c>
      <c r="D15">
        <v>945705.25986786548</v>
      </c>
      <c r="E15">
        <v>80.5</v>
      </c>
      <c r="F15">
        <v>1.6291414182479149</v>
      </c>
      <c r="G15">
        <v>2862</v>
      </c>
      <c r="H15">
        <v>80.599999999999994</v>
      </c>
      <c r="I15">
        <v>53074.249255783972</v>
      </c>
      <c r="J15">
        <v>88.4</v>
      </c>
      <c r="K15">
        <v>18.7</v>
      </c>
      <c r="L15">
        <v>3.3</v>
      </c>
      <c r="M15">
        <v>-10.4</v>
      </c>
      <c r="N15">
        <v>-15</v>
      </c>
      <c r="O15">
        <v>314.47048923871904</v>
      </c>
      <c r="P15">
        <v>354354</v>
      </c>
      <c r="Q15">
        <v>993976.83292721177</v>
      </c>
      <c r="R15">
        <v>100.6</v>
      </c>
      <c r="S15">
        <v>99.6</v>
      </c>
      <c r="T15">
        <v>826972.27687439276</v>
      </c>
      <c r="U15">
        <v>101.8</v>
      </c>
      <c r="V15">
        <v>3380578.4974293322</v>
      </c>
      <c r="W15">
        <v>8656814.887575414</v>
      </c>
      <c r="X15">
        <v>503</v>
      </c>
      <c r="Y15">
        <v>8.3000000000000007</v>
      </c>
      <c r="Z15">
        <v>426595.67305611738</v>
      </c>
      <c r="AA15">
        <v>648.59044170614186</v>
      </c>
      <c r="AB15">
        <v>1689</v>
      </c>
      <c r="AC15">
        <v>239</v>
      </c>
      <c r="AD15">
        <v>384</v>
      </c>
      <c r="AE15">
        <v>4034.0548940956378</v>
      </c>
      <c r="AF15">
        <v>19</v>
      </c>
      <c r="AG15">
        <v>90.4</v>
      </c>
      <c r="AH15">
        <v>80.2</v>
      </c>
      <c r="AI15">
        <v>214.5</v>
      </c>
      <c r="AJ15">
        <v>77.440424610051991</v>
      </c>
      <c r="AK15">
        <v>389.2</v>
      </c>
    </row>
    <row r="16" spans="1:37" x14ac:dyDescent="0.3">
      <c r="A16">
        <v>2014</v>
      </c>
      <c r="B16">
        <v>105.95847549042389</v>
      </c>
      <c r="C16">
        <v>186347.32827926916</v>
      </c>
      <c r="D16">
        <v>975707.04432160896</v>
      </c>
      <c r="E16">
        <v>81.8</v>
      </c>
      <c r="F16">
        <v>1.4647201630094659</v>
      </c>
      <c r="G16">
        <v>2909</v>
      </c>
      <c r="H16">
        <v>75.400000000000006</v>
      </c>
      <c r="I16">
        <v>52539.261975657741</v>
      </c>
      <c r="J16">
        <v>86.1</v>
      </c>
      <c r="K16">
        <v>18.600000000000001</v>
      </c>
      <c r="L16">
        <v>3.4</v>
      </c>
      <c r="M16">
        <v>-8.1</v>
      </c>
      <c r="N16">
        <v>-8</v>
      </c>
      <c r="O16">
        <v>293.98265813788197</v>
      </c>
      <c r="P16">
        <v>357124</v>
      </c>
      <c r="Q16">
        <v>479317.29040226829</v>
      </c>
      <c r="R16">
        <v>75.900000000000006</v>
      </c>
      <c r="S16">
        <v>93.6</v>
      </c>
      <c r="T16">
        <v>808476.6988881029</v>
      </c>
      <c r="U16">
        <v>101</v>
      </c>
      <c r="V16">
        <v>3430526.873283763</v>
      </c>
      <c r="W16">
        <v>9080264.8162356969</v>
      </c>
      <c r="X16">
        <v>623</v>
      </c>
      <c r="Y16">
        <v>10.5</v>
      </c>
      <c r="Z16">
        <v>372029.05980462389</v>
      </c>
      <c r="AA16">
        <v>715.5717402352542</v>
      </c>
      <c r="AB16">
        <v>1717</v>
      </c>
      <c r="AC16">
        <v>256</v>
      </c>
      <c r="AD16">
        <v>247</v>
      </c>
      <c r="AE16">
        <v>4431.3995943049913</v>
      </c>
      <c r="AF16">
        <v>17</v>
      </c>
      <c r="AG16">
        <v>85.6</v>
      </c>
      <c r="AH16">
        <v>80.2</v>
      </c>
      <c r="AI16">
        <v>232.5</v>
      </c>
      <c r="AJ16">
        <v>78.214644876378571</v>
      </c>
      <c r="AK16">
        <v>405.1</v>
      </c>
    </row>
    <row r="17" spans="1:37" x14ac:dyDescent="0.3">
      <c r="A17">
        <v>2015</v>
      </c>
      <c r="B17">
        <v>82.6</v>
      </c>
      <c r="C17">
        <v>157606.86525308716</v>
      </c>
      <c r="D17">
        <v>835905.53806400986</v>
      </c>
      <c r="E17">
        <v>81.5</v>
      </c>
      <c r="F17">
        <v>2.2460057297681657</v>
      </c>
      <c r="G17">
        <v>3003</v>
      </c>
      <c r="H17">
        <v>82.2</v>
      </c>
      <c r="I17">
        <v>53463.247159115563</v>
      </c>
      <c r="J17">
        <v>84.1</v>
      </c>
      <c r="K17">
        <v>16.899999999999999</v>
      </c>
      <c r="L17">
        <v>2.2999999999999998</v>
      </c>
      <c r="M17">
        <v>-3.3</v>
      </c>
      <c r="N17">
        <v>-14.2</v>
      </c>
      <c r="O17">
        <v>290.31025520593397</v>
      </c>
      <c r="P17">
        <v>374999</v>
      </c>
      <c r="Q17">
        <v>672747.44512957393</v>
      </c>
      <c r="R17">
        <v>83.1</v>
      </c>
      <c r="S17">
        <v>95.2</v>
      </c>
      <c r="T17">
        <v>773651.69431679277</v>
      </c>
      <c r="U17">
        <v>101.4</v>
      </c>
      <c r="V17">
        <v>3504561.0682635373</v>
      </c>
      <c r="W17">
        <v>9145735.7911085952</v>
      </c>
      <c r="X17">
        <v>571</v>
      </c>
      <c r="Y17">
        <v>9.8000000000000007</v>
      </c>
      <c r="Z17">
        <v>363740.45888025285</v>
      </c>
      <c r="AA17">
        <v>766</v>
      </c>
      <c r="AB17">
        <v>1773</v>
      </c>
      <c r="AC17">
        <v>284</v>
      </c>
      <c r="AD17">
        <v>381</v>
      </c>
      <c r="AE17">
        <v>3066.1799905839907</v>
      </c>
      <c r="AF17">
        <v>17</v>
      </c>
      <c r="AG17">
        <v>84</v>
      </c>
      <c r="AH17">
        <v>72.3</v>
      </c>
      <c r="AI17">
        <v>244.2</v>
      </c>
      <c r="AJ17">
        <v>77.204380623581258</v>
      </c>
      <c r="AK17">
        <v>422.2</v>
      </c>
    </row>
    <row r="18" spans="1:37" x14ac:dyDescent="0.3">
      <c r="A18">
        <v>2016</v>
      </c>
      <c r="B18">
        <v>131.07632243555713</v>
      </c>
      <c r="C18">
        <v>189200.82768893347</v>
      </c>
      <c r="D18">
        <v>1015686.0016648726</v>
      </c>
      <c r="E18">
        <v>83</v>
      </c>
      <c r="F18">
        <v>1.8033045336858371</v>
      </c>
      <c r="G18">
        <v>3068</v>
      </c>
      <c r="H18">
        <v>78.400000000000006</v>
      </c>
      <c r="I18">
        <v>48052.757069347543</v>
      </c>
      <c r="J18">
        <v>82.3</v>
      </c>
      <c r="K18">
        <v>16.8</v>
      </c>
      <c r="L18">
        <v>2.2000000000000002</v>
      </c>
      <c r="M18">
        <v>-1.3</v>
      </c>
      <c r="N18">
        <v>-7.7</v>
      </c>
      <c r="O18">
        <v>292.69929718039657</v>
      </c>
      <c r="P18">
        <v>355755</v>
      </c>
      <c r="Q18">
        <v>1358747.9425436531</v>
      </c>
      <c r="R18">
        <v>143.80000000000001</v>
      </c>
      <c r="S18">
        <v>103.8</v>
      </c>
      <c r="T18">
        <v>727175.74109974597</v>
      </c>
      <c r="U18">
        <v>102.3</v>
      </c>
      <c r="V18">
        <v>3846155.4272396225</v>
      </c>
      <c r="W18">
        <v>9797054.2409614101</v>
      </c>
      <c r="X18">
        <v>581</v>
      </c>
      <c r="Y18">
        <v>10.7</v>
      </c>
      <c r="Z18">
        <v>397677.53538530937</v>
      </c>
      <c r="AA18">
        <v>806.27059195867889</v>
      </c>
      <c r="AB18">
        <v>1823</v>
      </c>
      <c r="AC18">
        <v>302</v>
      </c>
      <c r="AD18">
        <v>685</v>
      </c>
      <c r="AE18">
        <v>4824.5075685371039</v>
      </c>
      <c r="AF18">
        <v>18</v>
      </c>
      <c r="AG18">
        <v>81.7</v>
      </c>
      <c r="AH18">
        <v>75.7</v>
      </c>
      <c r="AI18">
        <v>254.6</v>
      </c>
      <c r="AJ18">
        <v>76.280245922268435</v>
      </c>
      <c r="AK18">
        <v>446.1</v>
      </c>
    </row>
    <row r="19" spans="1:37" x14ac:dyDescent="0.3">
      <c r="A19">
        <v>2017</v>
      </c>
      <c r="B19">
        <v>96.282863084007218</v>
      </c>
      <c r="C19">
        <v>172490.19797359937</v>
      </c>
      <c r="D19">
        <v>940086.5856052977</v>
      </c>
      <c r="E19">
        <v>83.7</v>
      </c>
      <c r="F19">
        <v>1.6933777429694767</v>
      </c>
      <c r="G19">
        <v>3108</v>
      </c>
      <c r="H19">
        <v>67.2</v>
      </c>
      <c r="I19">
        <v>47528.279662250308</v>
      </c>
      <c r="J19">
        <v>82.3</v>
      </c>
      <c r="K19">
        <v>17.899999999999999</v>
      </c>
      <c r="L19">
        <v>2.4</v>
      </c>
      <c r="M19">
        <v>-2.6</v>
      </c>
      <c r="N19">
        <v>-6.8</v>
      </c>
      <c r="O19">
        <v>293.84116115557941</v>
      </c>
      <c r="P19">
        <v>345277</v>
      </c>
      <c r="Q19">
        <v>1074248.4579207529</v>
      </c>
      <c r="R19">
        <v>106.4</v>
      </c>
      <c r="S19">
        <v>105.4</v>
      </c>
      <c r="T19">
        <v>730061.24860175396</v>
      </c>
      <c r="U19">
        <v>101.1</v>
      </c>
      <c r="V19">
        <v>3878248.3376738294</v>
      </c>
      <c r="W19">
        <v>10016389.543382462</v>
      </c>
      <c r="X19">
        <v>649</v>
      </c>
      <c r="Y19">
        <v>12.8</v>
      </c>
      <c r="Z19">
        <v>423805.22214267292</v>
      </c>
      <c r="AA19">
        <v>780.73983039169832</v>
      </c>
      <c r="AB19">
        <v>1845</v>
      </c>
      <c r="AC19">
        <v>312</v>
      </c>
      <c r="AD19">
        <v>904</v>
      </c>
      <c r="AE19">
        <v>4847.2620712293219</v>
      </c>
      <c r="AF19">
        <v>14.7</v>
      </c>
      <c r="AG19">
        <v>82.3</v>
      </c>
      <c r="AH19">
        <v>78.599999999999994</v>
      </c>
      <c r="AI19">
        <v>264.10000000000002</v>
      </c>
      <c r="AJ19">
        <v>75.896044470248739</v>
      </c>
      <c r="AK19">
        <v>469.5</v>
      </c>
    </row>
    <row r="20" spans="1:37" x14ac:dyDescent="0.3">
      <c r="A20">
        <v>2018</v>
      </c>
      <c r="B20">
        <v>119</v>
      </c>
      <c r="C20">
        <v>208342.51980640832</v>
      </c>
      <c r="D20">
        <v>1150173.6258689477</v>
      </c>
      <c r="E20">
        <v>84</v>
      </c>
      <c r="F20">
        <v>1.5841228157087681</v>
      </c>
      <c r="G20">
        <v>3131</v>
      </c>
      <c r="H20">
        <v>66.400000000000006</v>
      </c>
      <c r="I20">
        <v>48400.66227757297</v>
      </c>
      <c r="J20">
        <v>81.8</v>
      </c>
      <c r="K20">
        <v>18.5</v>
      </c>
      <c r="L20">
        <v>3</v>
      </c>
      <c r="M20">
        <v>-3.3</v>
      </c>
      <c r="N20">
        <v>-3.2</v>
      </c>
      <c r="O20">
        <v>292.77681368461384</v>
      </c>
      <c r="P20">
        <v>314917</v>
      </c>
      <c r="Q20">
        <v>815196.23197513598</v>
      </c>
      <c r="R20">
        <v>101.9</v>
      </c>
      <c r="S20">
        <v>104.4</v>
      </c>
      <c r="T20">
        <v>794902.52957306313</v>
      </c>
      <c r="U20">
        <v>103.4</v>
      </c>
      <c r="V20">
        <v>4071193.6854742016</v>
      </c>
      <c r="W20">
        <v>10541225.169731377</v>
      </c>
      <c r="X20">
        <v>716</v>
      </c>
      <c r="Y20">
        <v>14.2</v>
      </c>
      <c r="Z20">
        <v>508550.50974998565</v>
      </c>
      <c r="AA20">
        <v>764.23046393987897</v>
      </c>
      <c r="AB20">
        <v>1877</v>
      </c>
      <c r="AC20">
        <v>328</v>
      </c>
      <c r="AD20">
        <v>787</v>
      </c>
      <c r="AE20">
        <v>4778.858621168115</v>
      </c>
      <c r="AF20">
        <v>14</v>
      </c>
      <c r="AG20">
        <v>80.599999999999994</v>
      </c>
      <c r="AH20">
        <v>78.8</v>
      </c>
      <c r="AI20">
        <v>274.8</v>
      </c>
      <c r="AJ20">
        <v>77.631835399594934</v>
      </c>
      <c r="AK20">
        <v>492.52499999999998</v>
      </c>
    </row>
    <row r="21" spans="1:37" x14ac:dyDescent="0.3">
      <c r="A21">
        <v>2019</v>
      </c>
      <c r="B21">
        <v>81.457117533641494</v>
      </c>
      <c r="C21">
        <v>175309.36849375011</v>
      </c>
      <c r="D21">
        <v>975344.66244067647</v>
      </c>
      <c r="E21">
        <v>84.5</v>
      </c>
      <c r="F21">
        <v>1.453733352153177</v>
      </c>
      <c r="G21">
        <v>3151</v>
      </c>
      <c r="H21">
        <v>64.2</v>
      </c>
      <c r="I21">
        <v>49884.358711112538</v>
      </c>
      <c r="J21">
        <v>82.7</v>
      </c>
      <c r="K21">
        <v>19.100000000000001</v>
      </c>
      <c r="L21">
        <v>2.9</v>
      </c>
      <c r="M21">
        <v>-4.7</v>
      </c>
      <c r="N21">
        <v>-7.2</v>
      </c>
      <c r="O21">
        <v>293.46349739246608</v>
      </c>
      <c r="P21">
        <v>280663</v>
      </c>
      <c r="Q21">
        <v>1640104.4393086315</v>
      </c>
      <c r="R21">
        <v>73.8</v>
      </c>
      <c r="S21">
        <v>104.5</v>
      </c>
      <c r="T21">
        <v>850704.09483788826</v>
      </c>
      <c r="U21">
        <v>101.8</v>
      </c>
      <c r="V21">
        <v>4185948.4981878027</v>
      </c>
      <c r="W21">
        <v>27007974.054721948</v>
      </c>
      <c r="X21">
        <v>624</v>
      </c>
      <c r="Y21">
        <v>13.1</v>
      </c>
      <c r="Z21">
        <v>618384.64771627868</v>
      </c>
      <c r="AA21">
        <v>777.00179650997143</v>
      </c>
      <c r="AB21">
        <v>1915</v>
      </c>
      <c r="AC21">
        <v>345</v>
      </c>
      <c r="AD21">
        <v>653</v>
      </c>
      <c r="AE21">
        <v>5315.117195539191</v>
      </c>
      <c r="AF21">
        <v>13</v>
      </c>
      <c r="AG21">
        <v>80.8</v>
      </c>
      <c r="AH21">
        <v>82.1</v>
      </c>
      <c r="AI21">
        <v>285.3</v>
      </c>
      <c r="AJ21">
        <v>81.386611437276414</v>
      </c>
      <c r="AK21">
        <v>517.66399999999999</v>
      </c>
    </row>
    <row r="22" spans="1:37" x14ac:dyDescent="0.3">
      <c r="A22">
        <v>2020</v>
      </c>
      <c r="B22">
        <v>95.841063618732761</v>
      </c>
      <c r="C22">
        <v>171982.2278884137</v>
      </c>
      <c r="D22">
        <v>960457.61926140753</v>
      </c>
      <c r="E22">
        <v>83.4</v>
      </c>
      <c r="F22">
        <v>3.3150367313243971</v>
      </c>
      <c r="G22">
        <v>3195</v>
      </c>
      <c r="H22">
        <v>63.4</v>
      </c>
      <c r="I22">
        <v>43705.900182423204</v>
      </c>
      <c r="J22">
        <v>73.099999999999994</v>
      </c>
      <c r="K22">
        <v>18.899999999999999</v>
      </c>
      <c r="L22">
        <v>3.2</v>
      </c>
      <c r="M22">
        <v>4.8</v>
      </c>
      <c r="N22">
        <v>0.5</v>
      </c>
      <c r="O22">
        <v>294.12600453823762</v>
      </c>
      <c r="P22">
        <v>240385</v>
      </c>
      <c r="Q22">
        <v>2382600.1600451646</v>
      </c>
      <c r="R22">
        <v>84.4</v>
      </c>
      <c r="S22">
        <v>98.4</v>
      </c>
      <c r="T22">
        <v>852586.36440988013</v>
      </c>
      <c r="U22">
        <v>97.5</v>
      </c>
      <c r="V22">
        <v>4188226.1020643208</v>
      </c>
      <c r="W22">
        <v>27201272.990775488</v>
      </c>
      <c r="X22">
        <v>603</v>
      </c>
      <c r="Y22">
        <v>12.9</v>
      </c>
      <c r="Z22">
        <v>562132.73120055511</v>
      </c>
      <c r="AA22">
        <v>330.56794620808427</v>
      </c>
      <c r="AB22">
        <v>1936</v>
      </c>
      <c r="AC22">
        <v>356</v>
      </c>
      <c r="AD22">
        <v>636</v>
      </c>
      <c r="AE22">
        <v>1834.3557524212433</v>
      </c>
      <c r="AF22">
        <v>12</v>
      </c>
      <c r="AG22">
        <v>79.7</v>
      </c>
      <c r="AH22">
        <v>86</v>
      </c>
      <c r="AI22">
        <v>288.16300000000001</v>
      </c>
      <c r="AJ22">
        <v>83.863635702208029</v>
      </c>
      <c r="AK22">
        <v>538.1</v>
      </c>
    </row>
    <row r="23" spans="1:37" x14ac:dyDescent="0.3">
      <c r="A23">
        <v>2021</v>
      </c>
      <c r="B23">
        <v>109.1</v>
      </c>
      <c r="C23">
        <v>194401.01416151348</v>
      </c>
      <c r="D23">
        <v>1088298.5646741509</v>
      </c>
      <c r="E23">
        <v>83.9</v>
      </c>
      <c r="F23">
        <v>2.4467461925558047</v>
      </c>
      <c r="G23">
        <v>3226</v>
      </c>
      <c r="H23">
        <v>64.099999999999994</v>
      </c>
      <c r="I23">
        <v>53171.190658882457</v>
      </c>
      <c r="J23">
        <v>78.7</v>
      </c>
      <c r="K23">
        <v>18.899999999999999</v>
      </c>
      <c r="L23">
        <v>3.2</v>
      </c>
      <c r="M23">
        <v>-0.8</v>
      </c>
      <c r="N23">
        <v>-4.4000000000000004</v>
      </c>
      <c r="O23">
        <v>294.7185728174245</v>
      </c>
      <c r="P23">
        <v>226342</v>
      </c>
      <c r="Q23">
        <v>5958703.8596866587</v>
      </c>
      <c r="R23">
        <v>131.4</v>
      </c>
      <c r="S23">
        <v>106.4</v>
      </c>
      <c r="T23">
        <v>1026774.8316014105</v>
      </c>
      <c r="U23">
        <v>120</v>
      </c>
      <c r="V23">
        <v>5080697.8710830016</v>
      </c>
      <c r="W23">
        <v>27949391.282769073</v>
      </c>
      <c r="X23">
        <v>619</v>
      </c>
      <c r="Y23">
        <v>12.8</v>
      </c>
      <c r="Z23">
        <v>757381.67595331965</v>
      </c>
      <c r="AA23">
        <v>520.11165689957568</v>
      </c>
      <c r="AB23">
        <v>1971</v>
      </c>
      <c r="AC23">
        <v>380</v>
      </c>
      <c r="AD23">
        <v>716</v>
      </c>
      <c r="AE23">
        <v>3297.8155024605139</v>
      </c>
      <c r="AF23">
        <v>11</v>
      </c>
      <c r="AG23">
        <v>81.2</v>
      </c>
      <c r="AH23">
        <v>87.9</v>
      </c>
      <c r="AI23">
        <v>291.52100000000002</v>
      </c>
      <c r="AJ23">
        <v>88.042752776242551</v>
      </c>
      <c r="AK23">
        <v>559.20000000000005</v>
      </c>
    </row>
    <row r="24" spans="1:37" x14ac:dyDescent="0.3">
      <c r="A24">
        <v>2022</v>
      </c>
      <c r="B24">
        <v>99.9</v>
      </c>
      <c r="C24">
        <v>213154.96818520024</v>
      </c>
      <c r="D24">
        <v>1194514.9873978563</v>
      </c>
      <c r="E24">
        <v>83.9</v>
      </c>
      <c r="F24">
        <v>2.2230811542785789</v>
      </c>
      <c r="G24">
        <v>3236</v>
      </c>
      <c r="H24">
        <v>64.599999999999994</v>
      </c>
      <c r="I24">
        <v>55040.20751259297</v>
      </c>
      <c r="J24">
        <v>74</v>
      </c>
      <c r="K24">
        <v>19.7</v>
      </c>
      <c r="L24">
        <v>3.4</v>
      </c>
      <c r="M24">
        <v>2.9</v>
      </c>
      <c r="N24">
        <v>4.3</v>
      </c>
      <c r="O24">
        <v>290.20432696600238</v>
      </c>
      <c r="P24">
        <v>217397</v>
      </c>
      <c r="Q24">
        <v>2189911.3890636214</v>
      </c>
      <c r="R24">
        <v>40.6</v>
      </c>
      <c r="S24">
        <v>106.1</v>
      </c>
      <c r="T24">
        <v>1325541.1384399082</v>
      </c>
      <c r="U24">
        <v>97.6</v>
      </c>
      <c r="V24">
        <v>4931420.3656448424</v>
      </c>
      <c r="W24">
        <v>27544822.766556598</v>
      </c>
      <c r="X24">
        <v>620</v>
      </c>
      <c r="Y24">
        <v>12.53627825787725</v>
      </c>
      <c r="Z24">
        <v>570797.78895904485</v>
      </c>
      <c r="AA24">
        <v>695</v>
      </c>
      <c r="AB24">
        <v>2010</v>
      </c>
      <c r="AC24">
        <v>395</v>
      </c>
      <c r="AD24">
        <v>685</v>
      </c>
      <c r="AE24">
        <v>4987</v>
      </c>
      <c r="AF24">
        <v>11</v>
      </c>
      <c r="AG24">
        <v>83.6</v>
      </c>
      <c r="AH24">
        <v>89.1</v>
      </c>
      <c r="AI24">
        <v>282.48899999999998</v>
      </c>
      <c r="AJ24">
        <v>89.073910575770952</v>
      </c>
      <c r="AK24">
        <v>578.70000000000005</v>
      </c>
    </row>
    <row r="25" spans="1:37" x14ac:dyDescent="0.3">
      <c r="A25">
        <v>2023</v>
      </c>
      <c r="B25">
        <v>103.4</v>
      </c>
      <c r="C25">
        <v>213541</v>
      </c>
      <c r="D25">
        <v>1195595.0589999999</v>
      </c>
      <c r="E25">
        <v>85.2</v>
      </c>
      <c r="F25">
        <v>1.6967454695692927</v>
      </c>
      <c r="G25">
        <v>3261</v>
      </c>
      <c r="H25">
        <v>63.640999999999998</v>
      </c>
      <c r="I25">
        <v>59969</v>
      </c>
      <c r="J25">
        <v>83.2</v>
      </c>
      <c r="K25">
        <v>18.3</v>
      </c>
      <c r="L25">
        <v>2</v>
      </c>
      <c r="M25">
        <v>-3.5</v>
      </c>
      <c r="N25">
        <v>2</v>
      </c>
      <c r="O25">
        <v>289.04457012560198</v>
      </c>
      <c r="P25">
        <v>209344</v>
      </c>
      <c r="Q25">
        <v>2888158</v>
      </c>
      <c r="R25">
        <v>85.6</v>
      </c>
      <c r="S25">
        <v>111.5</v>
      </c>
      <c r="T25">
        <v>1149928.65994424</v>
      </c>
      <c r="U25">
        <v>106.2</v>
      </c>
      <c r="V25">
        <v>5189287.3</v>
      </c>
      <c r="W25">
        <v>25934251</v>
      </c>
      <c r="X25">
        <v>622</v>
      </c>
      <c r="Y25">
        <v>14.134601574253873</v>
      </c>
      <c r="Z25">
        <v>499661.69900000002</v>
      </c>
      <c r="AA25">
        <v>822</v>
      </c>
      <c r="AB25">
        <v>2045</v>
      </c>
      <c r="AC25">
        <v>421</v>
      </c>
      <c r="AD25">
        <v>702</v>
      </c>
      <c r="AE25">
        <v>4987</v>
      </c>
      <c r="AF25">
        <v>10</v>
      </c>
      <c r="AG25">
        <v>84.300000000000011</v>
      </c>
      <c r="AH25">
        <v>91.4</v>
      </c>
      <c r="AI25">
        <v>266.57900000000001</v>
      </c>
      <c r="AJ25">
        <v>87.821904495214881</v>
      </c>
      <c r="AK25">
        <v>595.9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9C67-86DF-4313-A332-7D2C3A89FBE0}">
  <dimension ref="A1:B36"/>
  <sheetViews>
    <sheetView workbookViewId="0">
      <selection activeCell="A4" sqref="A4:A36"/>
    </sheetView>
  </sheetViews>
  <sheetFormatPr defaultRowHeight="14.4" x14ac:dyDescent="0.3"/>
  <sheetData>
    <row r="1" spans="1:2" x14ac:dyDescent="0.3">
      <c r="A1" t="s">
        <v>1</v>
      </c>
      <c r="B1" t="s">
        <v>176</v>
      </c>
    </row>
    <row r="2" spans="1:2" x14ac:dyDescent="0.3">
      <c r="A2" t="s">
        <v>173</v>
      </c>
      <c r="B2" t="s">
        <v>177</v>
      </c>
    </row>
    <row r="3" spans="1:2" x14ac:dyDescent="0.3">
      <c r="A3" t="s">
        <v>174</v>
      </c>
      <c r="B3" t="s">
        <v>178</v>
      </c>
    </row>
    <row r="4" spans="1:2" x14ac:dyDescent="0.3">
      <c r="A4" t="s">
        <v>5</v>
      </c>
      <c r="B4" t="s">
        <v>179</v>
      </c>
    </row>
    <row r="5" spans="1:2" x14ac:dyDescent="0.3">
      <c r="A5" t="s">
        <v>6</v>
      </c>
      <c r="B5" t="s">
        <v>180</v>
      </c>
    </row>
    <row r="6" spans="1:2" x14ac:dyDescent="0.3">
      <c r="A6" t="s">
        <v>7</v>
      </c>
      <c r="B6" t="s">
        <v>181</v>
      </c>
    </row>
    <row r="7" spans="1:2" x14ac:dyDescent="0.3">
      <c r="A7" t="s">
        <v>8</v>
      </c>
      <c r="B7" t="s">
        <v>182</v>
      </c>
    </row>
    <row r="8" spans="1:2" x14ac:dyDescent="0.3">
      <c r="A8" t="s">
        <v>175</v>
      </c>
      <c r="B8" t="s">
        <v>183</v>
      </c>
    </row>
    <row r="9" spans="1:2" x14ac:dyDescent="0.3">
      <c r="A9" t="s">
        <v>11</v>
      </c>
      <c r="B9" t="s">
        <v>184</v>
      </c>
    </row>
    <row r="10" spans="1:2" x14ac:dyDescent="0.3">
      <c r="A10" t="s">
        <v>12</v>
      </c>
      <c r="B10" t="s">
        <v>185</v>
      </c>
    </row>
    <row r="11" spans="1:2" x14ac:dyDescent="0.3">
      <c r="A11" t="s">
        <v>13</v>
      </c>
      <c r="B11" t="s">
        <v>186</v>
      </c>
    </row>
    <row r="12" spans="1:2" x14ac:dyDescent="0.3">
      <c r="A12" t="s">
        <v>14</v>
      </c>
      <c r="B12" t="s">
        <v>187</v>
      </c>
    </row>
    <row r="13" spans="1:2" x14ac:dyDescent="0.3">
      <c r="A13" t="s">
        <v>15</v>
      </c>
      <c r="B13" t="s">
        <v>188</v>
      </c>
    </row>
    <row r="14" spans="1:2" x14ac:dyDescent="0.3">
      <c r="A14" t="s">
        <v>16</v>
      </c>
      <c r="B14" t="s">
        <v>189</v>
      </c>
    </row>
    <row r="15" spans="1:2" x14ac:dyDescent="0.3">
      <c r="A15" t="s">
        <v>18</v>
      </c>
      <c r="B15" t="s">
        <v>190</v>
      </c>
    </row>
    <row r="16" spans="1:2" x14ac:dyDescent="0.3">
      <c r="A16" t="s">
        <v>168</v>
      </c>
      <c r="B16" t="s">
        <v>191</v>
      </c>
    </row>
    <row r="17" spans="1:2" x14ac:dyDescent="0.3">
      <c r="A17" t="s">
        <v>19</v>
      </c>
      <c r="B17" t="s">
        <v>192</v>
      </c>
    </row>
    <row r="18" spans="1:2" x14ac:dyDescent="0.3">
      <c r="A18" t="s">
        <v>20</v>
      </c>
      <c r="B18" t="s">
        <v>193</v>
      </c>
    </row>
    <row r="19" spans="1:2" x14ac:dyDescent="0.3">
      <c r="A19" t="s">
        <v>169</v>
      </c>
      <c r="B19" t="s">
        <v>194</v>
      </c>
    </row>
    <row r="20" spans="1:2" x14ac:dyDescent="0.3">
      <c r="A20" t="s">
        <v>23</v>
      </c>
      <c r="B20" t="s">
        <v>195</v>
      </c>
    </row>
    <row r="21" spans="1:2" x14ac:dyDescent="0.3">
      <c r="A21" t="s">
        <v>170</v>
      </c>
      <c r="B21" t="s">
        <v>196</v>
      </c>
    </row>
    <row r="22" spans="1:2" x14ac:dyDescent="0.3">
      <c r="A22" t="s">
        <v>171</v>
      </c>
      <c r="B22" t="s">
        <v>197</v>
      </c>
    </row>
    <row r="23" spans="1:2" x14ac:dyDescent="0.3">
      <c r="A23" t="s">
        <v>26</v>
      </c>
      <c r="B23" t="s">
        <v>198</v>
      </c>
    </row>
    <row r="24" spans="1:2" x14ac:dyDescent="0.3">
      <c r="A24" t="s">
        <v>27</v>
      </c>
      <c r="B24" t="s">
        <v>199</v>
      </c>
    </row>
    <row r="25" spans="1:2" x14ac:dyDescent="0.3">
      <c r="A25" t="s">
        <v>172</v>
      </c>
      <c r="B25" t="s">
        <v>200</v>
      </c>
    </row>
    <row r="26" spans="1:2" x14ac:dyDescent="0.3">
      <c r="A26" t="s">
        <v>31</v>
      </c>
      <c r="B26" t="s">
        <v>201</v>
      </c>
    </row>
    <row r="27" spans="1:2" x14ac:dyDescent="0.3">
      <c r="A27" t="s">
        <v>32</v>
      </c>
      <c r="B27" t="s">
        <v>202</v>
      </c>
    </row>
    <row r="28" spans="1:2" x14ac:dyDescent="0.3">
      <c r="A28" t="s">
        <v>33</v>
      </c>
      <c r="B28" t="s">
        <v>203</v>
      </c>
    </row>
    <row r="29" spans="1:2" x14ac:dyDescent="0.3">
      <c r="A29" t="s">
        <v>30</v>
      </c>
      <c r="B29" t="s">
        <v>204</v>
      </c>
    </row>
    <row r="30" spans="1:2" x14ac:dyDescent="0.3">
      <c r="A30" t="s">
        <v>153</v>
      </c>
      <c r="B30" t="s">
        <v>205</v>
      </c>
    </row>
    <row r="31" spans="1:2" x14ac:dyDescent="0.3">
      <c r="A31" t="s">
        <v>156</v>
      </c>
      <c r="B31" t="s">
        <v>206</v>
      </c>
    </row>
    <row r="32" spans="1:2" x14ac:dyDescent="0.3">
      <c r="A32" t="s">
        <v>158</v>
      </c>
      <c r="B32" t="s">
        <v>207</v>
      </c>
    </row>
    <row r="33" spans="1:2" x14ac:dyDescent="0.3">
      <c r="A33" t="s">
        <v>159</v>
      </c>
      <c r="B33" t="s">
        <v>208</v>
      </c>
    </row>
    <row r="34" spans="1:2" x14ac:dyDescent="0.3">
      <c r="A34" t="s">
        <v>163</v>
      </c>
      <c r="B34" t="s">
        <v>209</v>
      </c>
    </row>
    <row r="35" spans="1:2" x14ac:dyDescent="0.3">
      <c r="A35" t="s">
        <v>164</v>
      </c>
      <c r="B35" t="s">
        <v>210</v>
      </c>
    </row>
    <row r="36" spans="1:2" x14ac:dyDescent="0.3">
      <c r="A36" t="s">
        <v>165</v>
      </c>
      <c r="B36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1E6A-67A0-43B5-AE20-FBE2B4D3FCC3}">
  <dimension ref="A1:AL25"/>
  <sheetViews>
    <sheetView topLeftCell="P1" workbookViewId="0">
      <selection activeCell="AL25" sqref="A1:AL25"/>
    </sheetView>
  </sheetViews>
  <sheetFormatPr defaultRowHeight="14.4" x14ac:dyDescent="0.3"/>
  <sheetData>
    <row r="1" spans="1:38" x14ac:dyDescent="0.3">
      <c r="A1" t="s">
        <v>213</v>
      </c>
      <c r="B1" t="s">
        <v>212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</row>
    <row r="2" spans="1:38" x14ac:dyDescent="0.3">
      <c r="A2">
        <v>2000</v>
      </c>
      <c r="B2">
        <v>1</v>
      </c>
      <c r="C2">
        <v>80.2</v>
      </c>
      <c r="D2">
        <v>67598.944037512221</v>
      </c>
      <c r="E2">
        <v>319656.61402507924</v>
      </c>
      <c r="F2">
        <v>73.616011212638114</v>
      </c>
      <c r="G2">
        <v>6.5474720067976468</v>
      </c>
      <c r="H2">
        <v>2452</v>
      </c>
      <c r="I2">
        <v>49.7</v>
      </c>
      <c r="J2">
        <v>18819.047266306105</v>
      </c>
      <c r="K2">
        <v>82.7</v>
      </c>
      <c r="L2">
        <v>7.9</v>
      </c>
      <c r="M2">
        <v>3.7</v>
      </c>
      <c r="N2">
        <v>5.7</v>
      </c>
      <c r="O2">
        <v>-9.1999999999999993</v>
      </c>
      <c r="P2">
        <v>180.3</v>
      </c>
      <c r="Q2">
        <v>218681</v>
      </c>
      <c r="R2">
        <v>270066.24243076198</v>
      </c>
      <c r="S2">
        <v>67.400000000000006</v>
      </c>
      <c r="T2">
        <v>102</v>
      </c>
      <c r="U2">
        <v>337240.35515989613</v>
      </c>
      <c r="V2">
        <v>110.1</v>
      </c>
      <c r="W2">
        <v>1222099.8450308463</v>
      </c>
      <c r="X2">
        <v>3988319.8855797462</v>
      </c>
      <c r="Y2">
        <v>228.59741138651557</v>
      </c>
      <c r="Z2">
        <v>3.2127146603502243</v>
      </c>
      <c r="AA2">
        <v>47345.046394476922</v>
      </c>
      <c r="AB2">
        <v>678</v>
      </c>
      <c r="AC2">
        <v>1302</v>
      </c>
      <c r="AD2">
        <v>64</v>
      </c>
      <c r="AE2">
        <v>198</v>
      </c>
      <c r="AF2">
        <v>3691</v>
      </c>
      <c r="AG2">
        <v>39</v>
      </c>
      <c r="AH2">
        <v>101.3</v>
      </c>
      <c r="AI2">
        <v>74.5</v>
      </c>
      <c r="AJ2">
        <v>135.5</v>
      </c>
      <c r="AK2">
        <v>73.3</v>
      </c>
      <c r="AL2">
        <v>514.70000000000005</v>
      </c>
    </row>
    <row r="3" spans="1:38" x14ac:dyDescent="0.3">
      <c r="A3">
        <v>2001</v>
      </c>
      <c r="B3">
        <v>2</v>
      </c>
      <c r="C3">
        <v>143.19999999999999</v>
      </c>
      <c r="D3">
        <v>83376.381772060296</v>
      </c>
      <c r="E3">
        <v>392004.48094906297</v>
      </c>
      <c r="F3">
        <v>75.276228122764294</v>
      </c>
      <c r="G3">
        <v>4.1106713707938729</v>
      </c>
      <c r="H3">
        <v>2466</v>
      </c>
      <c r="I3">
        <v>52.3</v>
      </c>
      <c r="J3">
        <v>20680.855519313198</v>
      </c>
      <c r="K3">
        <v>81.900000000000006</v>
      </c>
      <c r="L3">
        <v>7.7</v>
      </c>
      <c r="M3">
        <v>5.2</v>
      </c>
      <c r="N3">
        <v>5.2</v>
      </c>
      <c r="O3">
        <v>0</v>
      </c>
      <c r="P3">
        <v>168.1</v>
      </c>
      <c r="Q3">
        <v>247372</v>
      </c>
      <c r="R3">
        <v>256413.11702341333</v>
      </c>
      <c r="S3">
        <v>125.5</v>
      </c>
      <c r="T3">
        <v>107</v>
      </c>
      <c r="U3">
        <v>382026.64277713699</v>
      </c>
      <c r="V3">
        <v>104.6</v>
      </c>
      <c r="W3">
        <v>1346148.9576670725</v>
      </c>
      <c r="X3">
        <v>3924400.617915676</v>
      </c>
      <c r="Y3">
        <v>237.83392887527648</v>
      </c>
      <c r="Z3">
        <v>3.2284754126254889</v>
      </c>
      <c r="AA3">
        <v>113299.39824469796</v>
      </c>
      <c r="AB3">
        <v>677</v>
      </c>
      <c r="AC3">
        <v>1143</v>
      </c>
      <c r="AD3">
        <v>69</v>
      </c>
      <c r="AE3">
        <v>200</v>
      </c>
      <c r="AF3">
        <v>3665</v>
      </c>
      <c r="AG3">
        <v>37</v>
      </c>
      <c r="AH3">
        <v>100.2</v>
      </c>
      <c r="AI3">
        <v>74.7</v>
      </c>
      <c r="AJ3">
        <v>133.1</v>
      </c>
      <c r="AK3">
        <v>74.2</v>
      </c>
      <c r="AL3">
        <v>492.6</v>
      </c>
    </row>
    <row r="4" spans="1:38" x14ac:dyDescent="0.3">
      <c r="A4">
        <v>2002</v>
      </c>
      <c r="B4">
        <v>3</v>
      </c>
      <c r="C4">
        <v>125.79350953895292</v>
      </c>
      <c r="D4">
        <v>98780.551847948562</v>
      </c>
      <c r="E4">
        <v>461546.695579188</v>
      </c>
      <c r="F4">
        <v>77.366948232733066</v>
      </c>
      <c r="G4">
        <v>3.4226612858652659</v>
      </c>
      <c r="H4">
        <v>2543</v>
      </c>
      <c r="I4">
        <v>56</v>
      </c>
      <c r="J4">
        <v>21940.668347495561</v>
      </c>
      <c r="K4">
        <v>80.099999999999994</v>
      </c>
      <c r="L4">
        <v>8.3000000000000007</v>
      </c>
      <c r="M4">
        <v>6</v>
      </c>
      <c r="N4">
        <v>5.6</v>
      </c>
      <c r="O4">
        <v>-8</v>
      </c>
      <c r="P4">
        <v>190.6</v>
      </c>
      <c r="Q4">
        <v>275381</v>
      </c>
      <c r="R4">
        <v>146623.14410478499</v>
      </c>
      <c r="S4">
        <v>88</v>
      </c>
      <c r="T4">
        <v>129.6</v>
      </c>
      <c r="U4">
        <v>404301.27222671232</v>
      </c>
      <c r="V4">
        <v>117.5</v>
      </c>
      <c r="W4">
        <v>1429082.8245182466</v>
      </c>
      <c r="X4">
        <v>4162068.9187552207</v>
      </c>
      <c r="Y4">
        <v>259.75943840424628</v>
      </c>
      <c r="Z4">
        <v>3.4361356048283538</v>
      </c>
      <c r="AA4">
        <v>65299.349189611705</v>
      </c>
      <c r="AB4">
        <v>669</v>
      </c>
      <c r="AC4">
        <v>1197</v>
      </c>
      <c r="AD4">
        <v>69</v>
      </c>
      <c r="AE4">
        <v>203</v>
      </c>
      <c r="AF4">
        <v>3689</v>
      </c>
      <c r="AG4">
        <v>36</v>
      </c>
      <c r="AH4">
        <v>101.1</v>
      </c>
      <c r="AI4">
        <v>76.2</v>
      </c>
      <c r="AJ4">
        <v>130.69999999999999</v>
      </c>
      <c r="AK4">
        <v>73.599999999999994</v>
      </c>
      <c r="AL4">
        <v>465.2</v>
      </c>
    </row>
    <row r="5" spans="1:38" x14ac:dyDescent="0.3">
      <c r="A5">
        <v>2003</v>
      </c>
      <c r="B5">
        <v>4</v>
      </c>
      <c r="C5">
        <v>135.47641449078432</v>
      </c>
      <c r="D5">
        <v>125639.37258251221</v>
      </c>
      <c r="E5">
        <v>585386.00054130552</v>
      </c>
      <c r="F5">
        <v>76.069106670394078</v>
      </c>
      <c r="G5">
        <v>4.2290417006770706</v>
      </c>
      <c r="H5">
        <v>2512</v>
      </c>
      <c r="I5">
        <v>65</v>
      </c>
      <c r="J5">
        <v>23058.402874127121</v>
      </c>
      <c r="K5">
        <v>64.5</v>
      </c>
      <c r="L5">
        <v>9.3000000000000007</v>
      </c>
      <c r="M5">
        <v>6.4</v>
      </c>
      <c r="N5">
        <v>19.8</v>
      </c>
      <c r="O5">
        <v>-0.5</v>
      </c>
      <c r="P5">
        <v>199.8</v>
      </c>
      <c r="Q5">
        <v>305145</v>
      </c>
      <c r="R5">
        <v>196481.28514066403</v>
      </c>
      <c r="S5">
        <v>280</v>
      </c>
      <c r="T5">
        <v>111.4</v>
      </c>
      <c r="U5">
        <v>404857.12081598799</v>
      </c>
      <c r="V5">
        <v>108.5</v>
      </c>
      <c r="W5">
        <v>1495805.7756248803</v>
      </c>
      <c r="X5">
        <v>4965209.5545584327</v>
      </c>
      <c r="Y5">
        <v>377.29199683382927</v>
      </c>
      <c r="Z5">
        <v>5.0083103396765489</v>
      </c>
      <c r="AA5">
        <v>34779.376419440661</v>
      </c>
      <c r="AB5">
        <v>602.80010370754462</v>
      </c>
      <c r="AC5">
        <v>1316</v>
      </c>
      <c r="AD5">
        <v>92</v>
      </c>
      <c r="AE5">
        <v>203</v>
      </c>
      <c r="AF5">
        <v>4037</v>
      </c>
      <c r="AG5">
        <v>33</v>
      </c>
      <c r="AH5">
        <v>99.5</v>
      </c>
      <c r="AI5">
        <v>77.3</v>
      </c>
      <c r="AJ5">
        <v>131.6</v>
      </c>
      <c r="AK5">
        <v>69.915826168283886</v>
      </c>
      <c r="AL5">
        <v>436.2</v>
      </c>
    </row>
    <row r="6" spans="1:38" x14ac:dyDescent="0.3">
      <c r="A6">
        <v>2004</v>
      </c>
      <c r="B6">
        <v>5</v>
      </c>
      <c r="C6">
        <v>93.648404891213076</v>
      </c>
      <c r="D6">
        <v>116184.35186038505</v>
      </c>
      <c r="E6">
        <v>543076.33326433087</v>
      </c>
      <c r="F6">
        <v>77.730403700303171</v>
      </c>
      <c r="G6">
        <v>2.7496479075760747</v>
      </c>
      <c r="H6">
        <v>2564</v>
      </c>
      <c r="I6">
        <v>71.8</v>
      </c>
      <c r="J6">
        <v>26987.294500282685</v>
      </c>
      <c r="K6">
        <v>64.599999999999994</v>
      </c>
      <c r="L6">
        <v>9.1</v>
      </c>
      <c r="M6">
        <v>5.5</v>
      </c>
      <c r="N6">
        <v>20.8</v>
      </c>
      <c r="O6">
        <v>1.9</v>
      </c>
      <c r="P6">
        <v>205.2</v>
      </c>
      <c r="Q6">
        <v>333501</v>
      </c>
      <c r="R6">
        <v>256637.54937469776</v>
      </c>
      <c r="S6">
        <v>160</v>
      </c>
      <c r="T6">
        <v>113.7</v>
      </c>
      <c r="U6">
        <v>439461.25121495867</v>
      </c>
      <c r="V6">
        <v>107.1</v>
      </c>
      <c r="W6">
        <v>1748869.8386676866</v>
      </c>
      <c r="X6">
        <v>4734706.840159215</v>
      </c>
      <c r="Y6">
        <v>434.7208458914601</v>
      </c>
      <c r="Z6">
        <v>5.9162255276980504</v>
      </c>
      <c r="AA6">
        <v>35676.251487681147</v>
      </c>
      <c r="AB6">
        <v>575.72700215477767</v>
      </c>
      <c r="AC6">
        <v>1473</v>
      </c>
      <c r="AD6">
        <v>78</v>
      </c>
      <c r="AE6">
        <v>203</v>
      </c>
      <c r="AF6">
        <v>3843</v>
      </c>
      <c r="AG6">
        <v>32</v>
      </c>
      <c r="AH6">
        <v>97.5</v>
      </c>
      <c r="AI6">
        <v>78.8</v>
      </c>
      <c r="AJ6">
        <v>134.6</v>
      </c>
      <c r="AK6">
        <v>67.596188141442653</v>
      </c>
      <c r="AL6">
        <v>408.2</v>
      </c>
    </row>
    <row r="7" spans="1:38" x14ac:dyDescent="0.3">
      <c r="A7">
        <v>2005</v>
      </c>
      <c r="B7">
        <v>6</v>
      </c>
      <c r="C7">
        <v>107.1</v>
      </c>
      <c r="D7">
        <v>138799.96220299721</v>
      </c>
      <c r="E7">
        <v>652324.472550979</v>
      </c>
      <c r="F7">
        <v>78.091395422139229</v>
      </c>
      <c r="G7">
        <v>2.2095201691996817</v>
      </c>
      <c r="H7">
        <v>2620</v>
      </c>
      <c r="I7">
        <v>73.900000000000006</v>
      </c>
      <c r="J7">
        <v>32060.192018663834</v>
      </c>
      <c r="K7">
        <v>62.9</v>
      </c>
      <c r="L7">
        <v>10.1</v>
      </c>
      <c r="M7">
        <v>4.4000000000000004</v>
      </c>
      <c r="N7">
        <v>22.6</v>
      </c>
      <c r="O7">
        <v>3.6</v>
      </c>
      <c r="P7">
        <v>213.7</v>
      </c>
      <c r="Q7">
        <v>368991</v>
      </c>
      <c r="R7">
        <v>260831.64133176269</v>
      </c>
      <c r="S7">
        <v>340</v>
      </c>
      <c r="T7">
        <v>105.7</v>
      </c>
      <c r="U7">
        <v>593537.74998257554</v>
      </c>
      <c r="V7">
        <v>108.3</v>
      </c>
      <c r="W7">
        <v>2150914.4980238243</v>
      </c>
      <c r="X7">
        <v>4624540.2597797355</v>
      </c>
      <c r="Y7">
        <v>484</v>
      </c>
      <c r="Z7">
        <v>7.1</v>
      </c>
      <c r="AA7">
        <v>43296.185159708431</v>
      </c>
      <c r="AB7">
        <v>563</v>
      </c>
      <c r="AC7">
        <v>1399</v>
      </c>
      <c r="AD7">
        <v>78</v>
      </c>
      <c r="AE7">
        <v>152</v>
      </c>
      <c r="AF7">
        <v>3573</v>
      </c>
      <c r="AG7">
        <v>28</v>
      </c>
      <c r="AH7">
        <v>97.6</v>
      </c>
      <c r="AI7">
        <v>80</v>
      </c>
      <c r="AJ7">
        <v>139.6</v>
      </c>
      <c r="AK7">
        <v>66.900000000000006</v>
      </c>
      <c r="AL7">
        <v>382.2</v>
      </c>
    </row>
    <row r="8" spans="1:38" x14ac:dyDescent="0.3">
      <c r="A8">
        <v>2006</v>
      </c>
      <c r="B8">
        <v>7</v>
      </c>
      <c r="C8">
        <v>113.70196681792368</v>
      </c>
      <c r="D8">
        <v>151117.00093423165</v>
      </c>
      <c r="E8">
        <v>714814.60585129738</v>
      </c>
      <c r="F8">
        <v>80.360246491704487</v>
      </c>
      <c r="G8">
        <v>2.322806260322781</v>
      </c>
      <c r="H8">
        <v>2725</v>
      </c>
      <c r="I8">
        <v>80</v>
      </c>
      <c r="J8">
        <v>34614.44073457933</v>
      </c>
      <c r="K8">
        <v>68.5</v>
      </c>
      <c r="L8">
        <v>10.8</v>
      </c>
      <c r="M8">
        <v>5.5</v>
      </c>
      <c r="N8">
        <v>15.2</v>
      </c>
      <c r="O8">
        <v>-0.8</v>
      </c>
      <c r="P8">
        <v>232.6</v>
      </c>
      <c r="Q8">
        <v>393399</v>
      </c>
      <c r="R8">
        <v>761167.08608826576</v>
      </c>
      <c r="S8">
        <v>85.7</v>
      </c>
      <c r="T8">
        <v>98</v>
      </c>
      <c r="U8">
        <v>804922.11594400229</v>
      </c>
      <c r="V8">
        <v>108.3</v>
      </c>
      <c r="W8">
        <v>2357602.8816149528</v>
      </c>
      <c r="X8">
        <v>5242200.0128458925</v>
      </c>
      <c r="Y8">
        <v>502.2407076907075</v>
      </c>
      <c r="Z8">
        <v>7.2358432050047758</v>
      </c>
      <c r="AA8">
        <v>153897.52334061102</v>
      </c>
      <c r="AB8">
        <v>517.61003018475742</v>
      </c>
      <c r="AC8">
        <v>1585</v>
      </c>
      <c r="AD8">
        <v>86</v>
      </c>
      <c r="AE8">
        <v>202</v>
      </c>
      <c r="AF8">
        <v>3861.8858137559455</v>
      </c>
      <c r="AG8">
        <v>27</v>
      </c>
      <c r="AH8">
        <v>97.5</v>
      </c>
      <c r="AI8">
        <v>80.400000000000006</v>
      </c>
      <c r="AJ8">
        <v>146.80000000000001</v>
      </c>
      <c r="AK8">
        <v>67.751270370934463</v>
      </c>
      <c r="AL8">
        <v>361.6</v>
      </c>
    </row>
    <row r="9" spans="1:38" x14ac:dyDescent="0.3">
      <c r="A9">
        <v>2007</v>
      </c>
      <c r="B9">
        <v>8</v>
      </c>
      <c r="C9">
        <v>141.91331060364072</v>
      </c>
      <c r="D9">
        <v>214705.09305896287</v>
      </c>
      <c r="E9">
        <v>1021181.8890037247</v>
      </c>
      <c r="F9">
        <v>81.152444277763408</v>
      </c>
      <c r="G9">
        <v>2.2323562460270874</v>
      </c>
      <c r="H9">
        <v>2812</v>
      </c>
      <c r="I9">
        <v>84.3</v>
      </c>
      <c r="J9">
        <v>39474.467152790879</v>
      </c>
      <c r="K9">
        <v>72.3</v>
      </c>
      <c r="L9">
        <v>12.2</v>
      </c>
      <c r="M9">
        <v>4.5</v>
      </c>
      <c r="N9">
        <v>11</v>
      </c>
      <c r="O9">
        <v>-4.5999999999999996</v>
      </c>
      <c r="P9">
        <v>255</v>
      </c>
      <c r="Q9">
        <v>414080</v>
      </c>
      <c r="R9">
        <v>958950.23546382587</v>
      </c>
      <c r="S9">
        <v>89</v>
      </c>
      <c r="T9">
        <v>110.1</v>
      </c>
      <c r="U9">
        <v>946533.10938536318</v>
      </c>
      <c r="V9">
        <v>113.1</v>
      </c>
      <c r="W9">
        <v>2730529.6591317477</v>
      </c>
      <c r="X9">
        <v>5856136.4772044215</v>
      </c>
      <c r="Y9">
        <v>554.41237103431376</v>
      </c>
      <c r="Z9">
        <v>8.0002825781131897</v>
      </c>
      <c r="AA9">
        <v>69442.452509955649</v>
      </c>
      <c r="AB9">
        <v>511.73130185460809</v>
      </c>
      <c r="AC9">
        <v>1714</v>
      </c>
      <c r="AD9">
        <v>79</v>
      </c>
      <c r="AE9">
        <v>180</v>
      </c>
      <c r="AF9">
        <v>3849.8744903239071</v>
      </c>
      <c r="AG9">
        <v>26</v>
      </c>
      <c r="AH9">
        <v>94.9</v>
      </c>
      <c r="AI9">
        <v>79.099999999999994</v>
      </c>
      <c r="AJ9">
        <v>157.4</v>
      </c>
      <c r="AK9">
        <v>71.608010481684346</v>
      </c>
      <c r="AL9">
        <v>347.8</v>
      </c>
    </row>
    <row r="10" spans="1:38" x14ac:dyDescent="0.3">
      <c r="A10">
        <v>2008</v>
      </c>
      <c r="B10">
        <v>9</v>
      </c>
      <c r="C10">
        <v>101.5</v>
      </c>
      <c r="D10">
        <v>240578.17627626652</v>
      </c>
      <c r="E10">
        <v>1150399.4696778967</v>
      </c>
      <c r="F10">
        <v>81.995457019459096</v>
      </c>
      <c r="G10">
        <v>2.1424505926299293</v>
      </c>
      <c r="H10">
        <v>2809</v>
      </c>
      <c r="I10">
        <v>84.7</v>
      </c>
      <c r="J10">
        <v>46057.717532409661</v>
      </c>
      <c r="K10">
        <v>88</v>
      </c>
      <c r="L10">
        <v>18.5</v>
      </c>
      <c r="M10">
        <v>13.1</v>
      </c>
      <c r="N10">
        <v>-19.600000000000001</v>
      </c>
      <c r="O10">
        <v>-28.3</v>
      </c>
      <c r="P10">
        <v>272.2</v>
      </c>
      <c r="Q10">
        <v>429540</v>
      </c>
      <c r="R10">
        <v>833950.627400122</v>
      </c>
      <c r="S10">
        <v>84.2</v>
      </c>
      <c r="T10">
        <v>103.6</v>
      </c>
      <c r="U10">
        <v>1059270.3903173206</v>
      </c>
      <c r="V10">
        <v>109.3</v>
      </c>
      <c r="W10">
        <v>3175221.6399199762</v>
      </c>
      <c r="X10">
        <v>6191461.2634277595</v>
      </c>
      <c r="Y10">
        <v>671.63147516546633</v>
      </c>
      <c r="Z10">
        <v>10.048540410294139</v>
      </c>
      <c r="AA10">
        <v>66729.053416505136</v>
      </c>
      <c r="AB10">
        <v>523.73703649408208</v>
      </c>
      <c r="AC10">
        <v>1737</v>
      </c>
      <c r="AD10">
        <v>106</v>
      </c>
      <c r="AE10">
        <v>84</v>
      </c>
      <c r="AF10">
        <v>3762.9012907093984</v>
      </c>
      <c r="AG10">
        <v>25</v>
      </c>
      <c r="AH10">
        <v>91.8</v>
      </c>
      <c r="AI10">
        <v>80.900000000000006</v>
      </c>
      <c r="AJ10">
        <v>163.69999999999999</v>
      </c>
      <c r="AK10">
        <v>72.036408610953401</v>
      </c>
      <c r="AL10">
        <v>343.1</v>
      </c>
    </row>
    <row r="11" spans="1:38" x14ac:dyDescent="0.3">
      <c r="A11">
        <v>2009</v>
      </c>
      <c r="B11">
        <v>10</v>
      </c>
      <c r="C11">
        <v>83.3</v>
      </c>
      <c r="D11">
        <v>187678.28337050375</v>
      </c>
      <c r="E11">
        <v>903813.33466027118</v>
      </c>
      <c r="F11">
        <v>80.546469267756251</v>
      </c>
      <c r="G11">
        <v>4.1741578742933525</v>
      </c>
      <c r="H11">
        <v>2847</v>
      </c>
      <c r="I11">
        <v>90.1</v>
      </c>
      <c r="J11">
        <v>43151.585241088273</v>
      </c>
      <c r="K11">
        <v>74</v>
      </c>
      <c r="L11">
        <v>13.8</v>
      </c>
      <c r="M11">
        <v>6.4</v>
      </c>
      <c r="N11">
        <v>5.8</v>
      </c>
      <c r="O11">
        <v>-15.4</v>
      </c>
      <c r="P11">
        <v>277.8</v>
      </c>
      <c r="Q11">
        <v>450901</v>
      </c>
      <c r="R11">
        <v>700462.50374734576</v>
      </c>
      <c r="S11">
        <v>35.9</v>
      </c>
      <c r="T11">
        <v>83.4</v>
      </c>
      <c r="U11">
        <v>865186.57865527819</v>
      </c>
      <c r="V11">
        <v>94.3</v>
      </c>
      <c r="W11">
        <v>2914367.7058698074</v>
      </c>
      <c r="X11">
        <v>6260510.444204798</v>
      </c>
      <c r="Y11">
        <v>540.56119355379951</v>
      </c>
      <c r="Z11">
        <v>8.0963740537271978</v>
      </c>
      <c r="AA11">
        <v>133366.36873848463</v>
      </c>
      <c r="AB11">
        <v>506.17392647769725</v>
      </c>
      <c r="AC11">
        <v>1666</v>
      </c>
      <c r="AD11">
        <v>122</v>
      </c>
      <c r="AE11">
        <v>134</v>
      </c>
      <c r="AF11">
        <v>3539.5212694383586</v>
      </c>
      <c r="AG11">
        <v>22</v>
      </c>
      <c r="AH11">
        <v>91.8</v>
      </c>
      <c r="AI11">
        <v>83.2</v>
      </c>
      <c r="AJ11">
        <v>169.2</v>
      </c>
      <c r="AK11">
        <v>72.08474244192486</v>
      </c>
      <c r="AL11">
        <v>345</v>
      </c>
    </row>
    <row r="12" spans="1:38" x14ac:dyDescent="0.3">
      <c r="A12">
        <v>2010</v>
      </c>
      <c r="B12">
        <v>11</v>
      </c>
      <c r="C12">
        <v>113.9</v>
      </c>
      <c r="D12">
        <v>199956.91241686977</v>
      </c>
      <c r="E12">
        <v>973001.02694118419</v>
      </c>
      <c r="F12">
        <v>80.128245476887756</v>
      </c>
      <c r="G12">
        <v>2.7696437170393882</v>
      </c>
      <c r="H12">
        <v>2807</v>
      </c>
      <c r="I12">
        <v>93.2</v>
      </c>
      <c r="J12">
        <v>43481.747453989563</v>
      </c>
      <c r="K12">
        <v>72.3</v>
      </c>
      <c r="L12">
        <v>12.3</v>
      </c>
      <c r="M12">
        <v>7.1</v>
      </c>
      <c r="N12">
        <v>8.3000000000000007</v>
      </c>
      <c r="O12">
        <v>-10.5</v>
      </c>
      <c r="P12">
        <v>281</v>
      </c>
      <c r="Q12">
        <v>374459</v>
      </c>
      <c r="R12">
        <v>841237.56842813594</v>
      </c>
      <c r="S12">
        <v>145.6</v>
      </c>
      <c r="T12">
        <v>107.8</v>
      </c>
      <c r="U12">
        <v>852016.16633551952</v>
      </c>
      <c r="V12">
        <v>105.5</v>
      </c>
      <c r="W12">
        <v>2981915.6735912571</v>
      </c>
      <c r="X12">
        <v>6387355.7802693024</v>
      </c>
      <c r="Y12">
        <v>546</v>
      </c>
      <c r="Z12">
        <v>8.8000000000000007</v>
      </c>
      <c r="AA12">
        <v>204696.19026297503</v>
      </c>
      <c r="AB12">
        <v>517</v>
      </c>
      <c r="AC12">
        <v>1573</v>
      </c>
      <c r="AD12">
        <v>140</v>
      </c>
      <c r="AE12">
        <v>346</v>
      </c>
      <c r="AF12">
        <v>3669</v>
      </c>
      <c r="AG12">
        <v>20</v>
      </c>
      <c r="AH12">
        <v>89.3</v>
      </c>
      <c r="AI12">
        <v>84.8</v>
      </c>
      <c r="AJ12">
        <v>177.7</v>
      </c>
      <c r="AK12">
        <v>75.2</v>
      </c>
      <c r="AL12">
        <v>350.9</v>
      </c>
    </row>
    <row r="13" spans="1:38" x14ac:dyDescent="0.3">
      <c r="A13">
        <v>2011</v>
      </c>
      <c r="B13">
        <v>12</v>
      </c>
      <c r="C13">
        <v>87.133128044315612</v>
      </c>
      <c r="D13">
        <v>165535.64734145399</v>
      </c>
      <c r="E13">
        <v>817263.10328302777</v>
      </c>
      <c r="F13">
        <v>80.521630718594821</v>
      </c>
      <c r="G13">
        <v>2.0842344332220795</v>
      </c>
      <c r="H13">
        <v>2858</v>
      </c>
      <c r="I13">
        <v>91.4</v>
      </c>
      <c r="J13">
        <v>44821.926401028286</v>
      </c>
      <c r="K13">
        <v>75.8</v>
      </c>
      <c r="L13">
        <v>13.1</v>
      </c>
      <c r="M13">
        <v>10.1</v>
      </c>
      <c r="N13">
        <v>1</v>
      </c>
      <c r="O13">
        <v>-16</v>
      </c>
      <c r="P13">
        <v>287.60251137027439</v>
      </c>
      <c r="Q13">
        <v>367457</v>
      </c>
      <c r="R13">
        <v>1124172.195564507</v>
      </c>
      <c r="S13">
        <v>116.3</v>
      </c>
      <c r="T13">
        <v>114.6</v>
      </c>
      <c r="U13">
        <v>919902.91081292753</v>
      </c>
      <c r="V13">
        <v>108.3</v>
      </c>
      <c r="W13">
        <v>3132113.7626201981</v>
      </c>
      <c r="X13">
        <v>7356447.429494977</v>
      </c>
      <c r="Y13">
        <v>548</v>
      </c>
      <c r="Z13">
        <v>9.1</v>
      </c>
      <c r="AA13">
        <v>299128.09203682805</v>
      </c>
      <c r="AB13">
        <v>548.96821603052831</v>
      </c>
      <c r="AC13">
        <v>1649</v>
      </c>
      <c r="AD13">
        <v>171</v>
      </c>
      <c r="AE13">
        <v>238</v>
      </c>
      <c r="AF13">
        <v>3911.3200515284339</v>
      </c>
      <c r="AG13">
        <v>20</v>
      </c>
      <c r="AH13">
        <v>94.4</v>
      </c>
      <c r="AI13">
        <v>86.8</v>
      </c>
      <c r="AJ13">
        <v>189</v>
      </c>
      <c r="AK13">
        <v>78.210933231793121</v>
      </c>
      <c r="AL13">
        <v>365</v>
      </c>
    </row>
    <row r="14" spans="1:38" x14ac:dyDescent="0.3">
      <c r="A14">
        <v>2012</v>
      </c>
      <c r="B14">
        <v>13</v>
      </c>
      <c r="C14">
        <v>92.616352136788407</v>
      </c>
      <c r="D14">
        <v>146599.25537952795</v>
      </c>
      <c r="E14">
        <v>736393.65586922748</v>
      </c>
      <c r="F14">
        <v>81.365955124858189</v>
      </c>
      <c r="G14">
        <v>1.1980050173862402</v>
      </c>
      <c r="H14">
        <v>2896</v>
      </c>
      <c r="I14">
        <v>90.3</v>
      </c>
      <c r="J14">
        <v>46356.603437495869</v>
      </c>
      <c r="K14">
        <v>79.599999999999994</v>
      </c>
      <c r="L14">
        <v>14.2</v>
      </c>
      <c r="M14">
        <v>10.8</v>
      </c>
      <c r="N14">
        <v>-4.5999999999999996</v>
      </c>
      <c r="O14">
        <v>-21.5</v>
      </c>
      <c r="P14">
        <v>286.29303378974981</v>
      </c>
      <c r="Q14">
        <v>348481</v>
      </c>
      <c r="R14">
        <v>991317.33068712684</v>
      </c>
      <c r="S14">
        <v>108</v>
      </c>
      <c r="T14">
        <v>104.7</v>
      </c>
      <c r="U14">
        <v>794482.87596939108</v>
      </c>
      <c r="V14">
        <v>104.3</v>
      </c>
      <c r="W14">
        <v>3249988.1446841257</v>
      </c>
      <c r="X14">
        <v>7795026.201531508</v>
      </c>
      <c r="Y14">
        <v>513</v>
      </c>
      <c r="Z14">
        <v>8.3000000000000007</v>
      </c>
      <c r="AA14">
        <v>466736.48516195023</v>
      </c>
      <c r="AB14">
        <v>583.43496214152697</v>
      </c>
      <c r="AC14">
        <v>1634</v>
      </c>
      <c r="AD14">
        <v>190</v>
      </c>
      <c r="AE14">
        <v>357</v>
      </c>
      <c r="AF14">
        <v>3838.0054714322514</v>
      </c>
      <c r="AG14">
        <v>20</v>
      </c>
      <c r="AH14">
        <v>91.2</v>
      </c>
      <c r="AI14">
        <v>79.900000000000006</v>
      </c>
      <c r="AJ14">
        <v>199.3</v>
      </c>
      <c r="AK14">
        <v>77.426950575069938</v>
      </c>
      <c r="AL14">
        <v>378.4</v>
      </c>
    </row>
    <row r="15" spans="1:38" x14ac:dyDescent="0.3">
      <c r="A15">
        <v>2013</v>
      </c>
      <c r="B15">
        <v>14</v>
      </c>
      <c r="C15">
        <v>127.4</v>
      </c>
      <c r="D15">
        <v>184218.7566973982</v>
      </c>
      <c r="E15">
        <v>945705.25986786548</v>
      </c>
      <c r="F15">
        <v>80.5</v>
      </c>
      <c r="G15">
        <v>1.6291414182479149</v>
      </c>
      <c r="H15">
        <v>2862</v>
      </c>
      <c r="I15">
        <v>80.599999999999994</v>
      </c>
      <c r="J15">
        <v>53074.249255783972</v>
      </c>
      <c r="K15">
        <v>88.4</v>
      </c>
      <c r="L15">
        <v>18.7</v>
      </c>
      <c r="M15">
        <v>3.3</v>
      </c>
      <c r="N15">
        <v>-10.4</v>
      </c>
      <c r="O15">
        <v>-15</v>
      </c>
      <c r="P15">
        <v>314.47048923871904</v>
      </c>
      <c r="Q15">
        <v>354354</v>
      </c>
      <c r="R15">
        <v>993976.83292721177</v>
      </c>
      <c r="S15">
        <v>100.6</v>
      </c>
      <c r="T15">
        <v>99.6</v>
      </c>
      <c r="U15">
        <v>826972.27687439276</v>
      </c>
      <c r="V15">
        <v>101.8</v>
      </c>
      <c r="W15">
        <v>3380578.4974293322</v>
      </c>
      <c r="X15">
        <v>8656814.887575414</v>
      </c>
      <c r="Y15">
        <v>503</v>
      </c>
      <c r="Z15">
        <v>8.3000000000000007</v>
      </c>
      <c r="AA15">
        <v>426595.67305611738</v>
      </c>
      <c r="AB15">
        <v>648.59044170614186</v>
      </c>
      <c r="AC15">
        <v>1689</v>
      </c>
      <c r="AD15">
        <v>239</v>
      </c>
      <c r="AE15">
        <v>384</v>
      </c>
      <c r="AF15">
        <v>4034.0548940956378</v>
      </c>
      <c r="AG15">
        <v>19</v>
      </c>
      <c r="AH15">
        <v>90.4</v>
      </c>
      <c r="AI15">
        <v>80.2</v>
      </c>
      <c r="AJ15">
        <v>214.5</v>
      </c>
      <c r="AK15">
        <v>77.440424610051991</v>
      </c>
      <c r="AL15">
        <v>389.2</v>
      </c>
    </row>
    <row r="16" spans="1:38" x14ac:dyDescent="0.3">
      <c r="A16">
        <v>2014</v>
      </c>
      <c r="B16">
        <v>15</v>
      </c>
      <c r="C16">
        <v>105.95847549042389</v>
      </c>
      <c r="D16">
        <v>186347.32827926916</v>
      </c>
      <c r="E16">
        <v>975707.04432160896</v>
      </c>
      <c r="F16">
        <v>81.8</v>
      </c>
      <c r="G16">
        <v>1.4647201630094659</v>
      </c>
      <c r="H16">
        <v>2909</v>
      </c>
      <c r="I16">
        <v>75.400000000000006</v>
      </c>
      <c r="J16">
        <v>52539.261975657741</v>
      </c>
      <c r="K16">
        <v>86.1</v>
      </c>
      <c r="L16">
        <v>18.600000000000001</v>
      </c>
      <c r="M16">
        <v>3.4</v>
      </c>
      <c r="N16">
        <v>-8.1</v>
      </c>
      <c r="O16">
        <v>-8</v>
      </c>
      <c r="P16">
        <v>293.98265813788197</v>
      </c>
      <c r="Q16">
        <v>357124</v>
      </c>
      <c r="R16">
        <v>479317.29040226829</v>
      </c>
      <c r="S16">
        <v>75.900000000000006</v>
      </c>
      <c r="T16">
        <v>93.6</v>
      </c>
      <c r="U16">
        <v>808476.6988881029</v>
      </c>
      <c r="V16">
        <v>101</v>
      </c>
      <c r="W16">
        <v>3430526.873283763</v>
      </c>
      <c r="X16">
        <v>9080264.8162356969</v>
      </c>
      <c r="Y16">
        <v>623</v>
      </c>
      <c r="Z16">
        <v>10.5</v>
      </c>
      <c r="AA16">
        <v>372029.05980462389</v>
      </c>
      <c r="AB16">
        <v>715.5717402352542</v>
      </c>
      <c r="AC16">
        <v>1717</v>
      </c>
      <c r="AD16">
        <v>256</v>
      </c>
      <c r="AE16">
        <v>247</v>
      </c>
      <c r="AF16">
        <v>4431.3995943049913</v>
      </c>
      <c r="AG16">
        <v>17</v>
      </c>
      <c r="AH16">
        <v>85.6</v>
      </c>
      <c r="AI16">
        <v>80.2</v>
      </c>
      <c r="AJ16">
        <v>232.5</v>
      </c>
      <c r="AK16">
        <v>78.214644876378571</v>
      </c>
      <c r="AL16">
        <v>405.1</v>
      </c>
    </row>
    <row r="17" spans="1:38" x14ac:dyDescent="0.3">
      <c r="A17">
        <v>2015</v>
      </c>
      <c r="B17">
        <v>16</v>
      </c>
      <c r="C17">
        <v>82.6</v>
      </c>
      <c r="D17">
        <v>157606.86525308716</v>
      </c>
      <c r="E17">
        <v>835905.53806400986</v>
      </c>
      <c r="F17">
        <v>81.5</v>
      </c>
      <c r="G17">
        <v>2.2460057297681657</v>
      </c>
      <c r="H17">
        <v>3003</v>
      </c>
      <c r="I17">
        <v>82.2</v>
      </c>
      <c r="J17">
        <v>53463.247159115563</v>
      </c>
      <c r="K17">
        <v>84.1</v>
      </c>
      <c r="L17">
        <v>16.899999999999999</v>
      </c>
      <c r="M17">
        <v>2.2999999999999998</v>
      </c>
      <c r="N17">
        <v>-3.3</v>
      </c>
      <c r="O17">
        <v>-14.2</v>
      </c>
      <c r="P17">
        <v>290.31025520593397</v>
      </c>
      <c r="Q17">
        <v>374999</v>
      </c>
      <c r="R17">
        <v>672747.44512957393</v>
      </c>
      <c r="S17">
        <v>83.1</v>
      </c>
      <c r="T17">
        <v>95.2</v>
      </c>
      <c r="U17">
        <v>773651.69431679277</v>
      </c>
      <c r="V17">
        <v>101.4</v>
      </c>
      <c r="W17">
        <v>3504561.0682635373</v>
      </c>
      <c r="X17">
        <v>9145735.7911085952</v>
      </c>
      <c r="Y17">
        <v>571</v>
      </c>
      <c r="Z17">
        <v>9.8000000000000007</v>
      </c>
      <c r="AA17">
        <v>363740.45888025285</v>
      </c>
      <c r="AB17">
        <v>766</v>
      </c>
      <c r="AC17">
        <v>1773</v>
      </c>
      <c r="AD17">
        <v>284</v>
      </c>
      <c r="AE17">
        <v>381</v>
      </c>
      <c r="AF17">
        <v>3066.1799905839907</v>
      </c>
      <c r="AG17">
        <v>17</v>
      </c>
      <c r="AH17">
        <v>84</v>
      </c>
      <c r="AI17">
        <v>72.3</v>
      </c>
      <c r="AJ17">
        <v>244.2</v>
      </c>
      <c r="AK17">
        <v>77.204380623581258</v>
      </c>
      <c r="AL17">
        <v>422.2</v>
      </c>
    </row>
    <row r="18" spans="1:38" x14ac:dyDescent="0.3">
      <c r="A18">
        <v>2016</v>
      </c>
      <c r="B18">
        <v>17</v>
      </c>
      <c r="C18">
        <v>131.07632243555713</v>
      </c>
      <c r="D18">
        <v>189200.82768893347</v>
      </c>
      <c r="E18">
        <v>1015686.0016648726</v>
      </c>
      <c r="F18">
        <v>83</v>
      </c>
      <c r="G18">
        <v>1.8033045336858371</v>
      </c>
      <c r="H18">
        <v>3068</v>
      </c>
      <c r="I18">
        <v>78.400000000000006</v>
      </c>
      <c r="J18">
        <v>48052.757069347543</v>
      </c>
      <c r="K18">
        <v>82.3</v>
      </c>
      <c r="L18">
        <v>16.8</v>
      </c>
      <c r="M18">
        <v>2.2000000000000002</v>
      </c>
      <c r="N18">
        <v>-1.3</v>
      </c>
      <c r="O18">
        <v>-7.7</v>
      </c>
      <c r="P18">
        <v>292.69929718039657</v>
      </c>
      <c r="Q18">
        <v>355755</v>
      </c>
      <c r="R18">
        <v>1358747.9425436531</v>
      </c>
      <c r="S18">
        <v>143.80000000000001</v>
      </c>
      <c r="T18">
        <v>103.8</v>
      </c>
      <c r="U18">
        <v>727175.74109974597</v>
      </c>
      <c r="V18">
        <v>102.3</v>
      </c>
      <c r="W18">
        <v>3846155.4272396225</v>
      </c>
      <c r="X18">
        <v>9797054.2409614101</v>
      </c>
      <c r="Y18">
        <v>581</v>
      </c>
      <c r="Z18">
        <v>10.7</v>
      </c>
      <c r="AA18">
        <v>397677.53538530937</v>
      </c>
      <c r="AB18">
        <v>806.27059195867889</v>
      </c>
      <c r="AC18">
        <v>1823</v>
      </c>
      <c r="AD18">
        <v>302</v>
      </c>
      <c r="AE18">
        <v>685</v>
      </c>
      <c r="AF18">
        <v>4824.5075685371039</v>
      </c>
      <c r="AG18">
        <v>18</v>
      </c>
      <c r="AH18">
        <v>81.7</v>
      </c>
      <c r="AI18">
        <v>75.7</v>
      </c>
      <c r="AJ18">
        <v>254.6</v>
      </c>
      <c r="AK18">
        <v>76.280245922268435</v>
      </c>
      <c r="AL18">
        <v>446.1</v>
      </c>
    </row>
    <row r="19" spans="1:38" x14ac:dyDescent="0.3">
      <c r="A19">
        <v>2017</v>
      </c>
      <c r="B19">
        <v>18</v>
      </c>
      <c r="C19">
        <v>96.282863084007218</v>
      </c>
      <c r="D19">
        <v>172490.19797359937</v>
      </c>
      <c r="E19">
        <v>940086.5856052977</v>
      </c>
      <c r="F19">
        <v>83.7</v>
      </c>
      <c r="G19">
        <v>1.6933777429694767</v>
      </c>
      <c r="H19">
        <v>3108</v>
      </c>
      <c r="I19">
        <v>67.2</v>
      </c>
      <c r="J19">
        <v>47528.279662250308</v>
      </c>
      <c r="K19">
        <v>82.3</v>
      </c>
      <c r="L19">
        <v>17.899999999999999</v>
      </c>
      <c r="M19">
        <v>2.4</v>
      </c>
      <c r="N19">
        <v>-2.6</v>
      </c>
      <c r="O19">
        <v>-6.8</v>
      </c>
      <c r="P19">
        <v>293.84116115557941</v>
      </c>
      <c r="Q19">
        <v>345277</v>
      </c>
      <c r="R19">
        <v>1074248.4579207529</v>
      </c>
      <c r="S19">
        <v>106.4</v>
      </c>
      <c r="T19">
        <v>105.4</v>
      </c>
      <c r="U19">
        <v>730061.24860175396</v>
      </c>
      <c r="V19">
        <v>101.1</v>
      </c>
      <c r="W19">
        <v>3878248.3376738294</v>
      </c>
      <c r="X19">
        <v>10016389.543382462</v>
      </c>
      <c r="Y19">
        <v>649</v>
      </c>
      <c r="Z19">
        <v>12.8</v>
      </c>
      <c r="AA19">
        <v>423805.22214267292</v>
      </c>
      <c r="AB19">
        <v>780.73983039169832</v>
      </c>
      <c r="AC19">
        <v>1845</v>
      </c>
      <c r="AD19">
        <v>312</v>
      </c>
      <c r="AE19">
        <v>904</v>
      </c>
      <c r="AF19">
        <v>4847.2620712293219</v>
      </c>
      <c r="AG19">
        <v>14.7</v>
      </c>
      <c r="AH19">
        <v>82.3</v>
      </c>
      <c r="AI19">
        <v>78.599999999999994</v>
      </c>
      <c r="AJ19">
        <v>264.10000000000002</v>
      </c>
      <c r="AK19">
        <v>75.896044470248739</v>
      </c>
      <c r="AL19">
        <v>469.5</v>
      </c>
    </row>
    <row r="20" spans="1:38" x14ac:dyDescent="0.3">
      <c r="A20">
        <v>2018</v>
      </c>
      <c r="B20">
        <v>19</v>
      </c>
      <c r="C20">
        <v>119</v>
      </c>
      <c r="D20">
        <v>208342.51980640832</v>
      </c>
      <c r="E20">
        <v>1150173.6258689477</v>
      </c>
      <c r="F20">
        <v>84</v>
      </c>
      <c r="G20">
        <v>1.5841228157087681</v>
      </c>
      <c r="H20">
        <v>3131</v>
      </c>
      <c r="I20">
        <v>66.400000000000006</v>
      </c>
      <c r="J20">
        <v>48400.66227757297</v>
      </c>
      <c r="K20">
        <v>81.8</v>
      </c>
      <c r="L20">
        <v>18.5</v>
      </c>
      <c r="M20">
        <v>3</v>
      </c>
      <c r="N20">
        <v>-3.3</v>
      </c>
      <c r="O20">
        <v>-3.2</v>
      </c>
      <c r="P20">
        <v>292.77681368461384</v>
      </c>
      <c r="Q20">
        <v>314917</v>
      </c>
      <c r="R20">
        <v>815196.23197513598</v>
      </c>
      <c r="S20">
        <v>101.9</v>
      </c>
      <c r="T20">
        <v>104.4</v>
      </c>
      <c r="U20">
        <v>794902.52957306313</v>
      </c>
      <c r="V20">
        <v>103.4</v>
      </c>
      <c r="W20">
        <v>4071193.6854742016</v>
      </c>
      <c r="X20">
        <v>10541225.169731377</v>
      </c>
      <c r="Y20">
        <v>716</v>
      </c>
      <c r="Z20">
        <v>14.2</v>
      </c>
      <c r="AA20">
        <v>508550.50974998565</v>
      </c>
      <c r="AB20">
        <v>764.23046393987897</v>
      </c>
      <c r="AC20">
        <v>1877</v>
      </c>
      <c r="AD20">
        <v>328</v>
      </c>
      <c r="AE20">
        <v>787</v>
      </c>
      <c r="AF20">
        <v>4778.858621168115</v>
      </c>
      <c r="AG20">
        <v>14</v>
      </c>
      <c r="AH20">
        <v>80.599999999999994</v>
      </c>
      <c r="AI20">
        <v>78.8</v>
      </c>
      <c r="AJ20">
        <v>274.8</v>
      </c>
      <c r="AK20">
        <v>77.631835399594934</v>
      </c>
      <c r="AL20">
        <v>492.52499999999998</v>
      </c>
    </row>
    <row r="21" spans="1:38" x14ac:dyDescent="0.3">
      <c r="A21">
        <v>2019</v>
      </c>
      <c r="B21">
        <v>20</v>
      </c>
      <c r="C21">
        <v>81.457117533641494</v>
      </c>
      <c r="D21">
        <v>175309.36849375011</v>
      </c>
      <c r="E21">
        <v>975344.66244067647</v>
      </c>
      <c r="F21">
        <v>84.5</v>
      </c>
      <c r="G21">
        <v>1.453733352153177</v>
      </c>
      <c r="H21">
        <v>3151</v>
      </c>
      <c r="I21">
        <v>64.2</v>
      </c>
      <c r="J21">
        <v>49884.358711112538</v>
      </c>
      <c r="K21">
        <v>82.7</v>
      </c>
      <c r="L21">
        <v>19.100000000000001</v>
      </c>
      <c r="M21">
        <v>2.9</v>
      </c>
      <c r="N21">
        <v>-4.7</v>
      </c>
      <c r="O21">
        <v>-7.2</v>
      </c>
      <c r="P21">
        <v>293.46349739246608</v>
      </c>
      <c r="Q21">
        <v>280663</v>
      </c>
      <c r="R21">
        <v>1640104.4393086315</v>
      </c>
      <c r="S21">
        <v>73.8</v>
      </c>
      <c r="T21">
        <v>104.5</v>
      </c>
      <c r="U21">
        <v>850704.09483788826</v>
      </c>
      <c r="V21">
        <v>101.8</v>
      </c>
      <c r="W21">
        <v>4185948.4981878027</v>
      </c>
      <c r="X21">
        <v>27007974.054721948</v>
      </c>
      <c r="Y21">
        <v>624</v>
      </c>
      <c r="Z21">
        <v>13.1</v>
      </c>
      <c r="AA21">
        <v>618384.64771627868</v>
      </c>
      <c r="AB21">
        <v>777.00179650997143</v>
      </c>
      <c r="AC21">
        <v>1915</v>
      </c>
      <c r="AD21">
        <v>345</v>
      </c>
      <c r="AE21">
        <v>653</v>
      </c>
      <c r="AF21">
        <v>5315.117195539191</v>
      </c>
      <c r="AG21">
        <v>13</v>
      </c>
      <c r="AH21">
        <v>80.8</v>
      </c>
      <c r="AI21">
        <v>82.1</v>
      </c>
      <c r="AJ21">
        <v>285.3</v>
      </c>
      <c r="AK21">
        <v>81.386611437276414</v>
      </c>
      <c r="AL21">
        <v>517.66399999999999</v>
      </c>
    </row>
    <row r="22" spans="1:38" x14ac:dyDescent="0.3">
      <c r="A22">
        <v>2020</v>
      </c>
      <c r="B22">
        <v>21</v>
      </c>
      <c r="C22">
        <v>95.841063618732761</v>
      </c>
      <c r="D22">
        <v>171982.2278884137</v>
      </c>
      <c r="E22">
        <v>960457.61926140753</v>
      </c>
      <c r="F22">
        <v>83.4</v>
      </c>
      <c r="G22">
        <v>3.3150367313243971</v>
      </c>
      <c r="H22">
        <v>3195</v>
      </c>
      <c r="I22">
        <v>63.4</v>
      </c>
      <c r="J22">
        <v>43705.900182423204</v>
      </c>
      <c r="K22">
        <v>73.099999999999994</v>
      </c>
      <c r="L22">
        <v>18.899999999999999</v>
      </c>
      <c r="M22">
        <v>3.2</v>
      </c>
      <c r="N22">
        <v>4.8</v>
      </c>
      <c r="O22">
        <v>0.5</v>
      </c>
      <c r="P22">
        <v>294.12600453823762</v>
      </c>
      <c r="Q22">
        <v>240385</v>
      </c>
      <c r="R22">
        <v>2382600.1600451646</v>
      </c>
      <c r="S22">
        <v>84.4</v>
      </c>
      <c r="T22">
        <v>98.4</v>
      </c>
      <c r="U22">
        <v>852586.36440988013</v>
      </c>
      <c r="V22">
        <v>97.5</v>
      </c>
      <c r="W22">
        <v>4188226.1020643208</v>
      </c>
      <c r="X22">
        <v>27201272.990775488</v>
      </c>
      <c r="Y22">
        <v>603</v>
      </c>
      <c r="Z22">
        <v>12.9</v>
      </c>
      <c r="AA22">
        <v>562132.73120055511</v>
      </c>
      <c r="AB22">
        <v>330.56794620808427</v>
      </c>
      <c r="AC22">
        <v>1936</v>
      </c>
      <c r="AD22">
        <v>356</v>
      </c>
      <c r="AE22">
        <v>636</v>
      </c>
      <c r="AF22">
        <v>1834.3557524212433</v>
      </c>
      <c r="AG22">
        <v>12</v>
      </c>
      <c r="AH22">
        <v>79.7</v>
      </c>
      <c r="AI22">
        <v>86</v>
      </c>
      <c r="AJ22">
        <v>288.16300000000001</v>
      </c>
      <c r="AK22">
        <v>83.863635702208029</v>
      </c>
      <c r="AL22">
        <v>538.1</v>
      </c>
    </row>
    <row r="23" spans="1:38" x14ac:dyDescent="0.3">
      <c r="A23">
        <v>2021</v>
      </c>
      <c r="B23">
        <v>22</v>
      </c>
      <c r="C23">
        <v>109.1</v>
      </c>
      <c r="D23">
        <v>194401.01416151348</v>
      </c>
      <c r="E23">
        <v>1088298.5646741509</v>
      </c>
      <c r="F23">
        <v>83.9</v>
      </c>
      <c r="G23">
        <v>2.4467461925558047</v>
      </c>
      <c r="H23">
        <v>3226</v>
      </c>
      <c r="I23">
        <v>64.099999999999994</v>
      </c>
      <c r="J23">
        <v>53171.190658882457</v>
      </c>
      <c r="K23">
        <v>78.7</v>
      </c>
      <c r="L23">
        <v>18.899999999999999</v>
      </c>
      <c r="M23">
        <v>3.2</v>
      </c>
      <c r="N23">
        <v>-0.8</v>
      </c>
      <c r="O23">
        <v>-4.4000000000000004</v>
      </c>
      <c r="P23">
        <v>294.7185728174245</v>
      </c>
      <c r="Q23">
        <v>226342</v>
      </c>
      <c r="R23">
        <v>5958703.8596866587</v>
      </c>
      <c r="S23">
        <v>131.4</v>
      </c>
      <c r="T23">
        <v>106.4</v>
      </c>
      <c r="U23">
        <v>1026774.8316014105</v>
      </c>
      <c r="V23">
        <v>120</v>
      </c>
      <c r="W23">
        <v>5080697.8710830016</v>
      </c>
      <c r="X23">
        <v>27949391.282769073</v>
      </c>
      <c r="Y23">
        <v>619</v>
      </c>
      <c r="Z23">
        <v>12.8</v>
      </c>
      <c r="AA23">
        <v>757381.67595331965</v>
      </c>
      <c r="AB23">
        <v>520.11165689957568</v>
      </c>
      <c r="AC23">
        <v>1971</v>
      </c>
      <c r="AD23">
        <v>380</v>
      </c>
      <c r="AE23">
        <v>716</v>
      </c>
      <c r="AF23">
        <v>3297.8155024605139</v>
      </c>
      <c r="AG23">
        <v>11</v>
      </c>
      <c r="AH23">
        <v>81.2</v>
      </c>
      <c r="AI23">
        <v>87.9</v>
      </c>
      <c r="AJ23">
        <v>291.52100000000002</v>
      </c>
      <c r="AK23">
        <v>88.042752776242551</v>
      </c>
      <c r="AL23">
        <v>559.20000000000005</v>
      </c>
    </row>
    <row r="24" spans="1:38" x14ac:dyDescent="0.3">
      <c r="A24">
        <v>2022</v>
      </c>
      <c r="B24">
        <v>23</v>
      </c>
      <c r="C24">
        <v>99.9</v>
      </c>
      <c r="D24">
        <v>213154.96818520024</v>
      </c>
      <c r="E24">
        <v>1194514.9873978563</v>
      </c>
      <c r="F24">
        <v>83.9</v>
      </c>
      <c r="G24">
        <v>2.2230811542785789</v>
      </c>
      <c r="H24">
        <v>3236</v>
      </c>
      <c r="I24">
        <v>64.599999999999994</v>
      </c>
      <c r="J24">
        <v>55040.20751259297</v>
      </c>
      <c r="K24">
        <v>74</v>
      </c>
      <c r="L24">
        <v>19.7</v>
      </c>
      <c r="M24">
        <v>3.4</v>
      </c>
      <c r="N24">
        <v>2.9</v>
      </c>
      <c r="O24">
        <v>4.3</v>
      </c>
      <c r="P24">
        <v>290.20432696600238</v>
      </c>
      <c r="Q24">
        <v>217397</v>
      </c>
      <c r="R24">
        <v>2189911.3890636214</v>
      </c>
      <c r="S24">
        <v>40.6</v>
      </c>
      <c r="T24">
        <v>106.1</v>
      </c>
      <c r="U24">
        <v>1325541.1384399082</v>
      </c>
      <c r="V24">
        <v>97.6</v>
      </c>
      <c r="W24">
        <v>4931420.3656448424</v>
      </c>
      <c r="X24">
        <v>27544822.766556598</v>
      </c>
      <c r="Y24">
        <v>620</v>
      </c>
      <c r="Z24">
        <v>12.53627825787725</v>
      </c>
      <c r="AA24">
        <v>570797.78895904485</v>
      </c>
      <c r="AB24">
        <v>695</v>
      </c>
      <c r="AC24">
        <v>2010</v>
      </c>
      <c r="AD24">
        <v>395</v>
      </c>
      <c r="AE24">
        <v>685</v>
      </c>
      <c r="AF24">
        <v>4987</v>
      </c>
      <c r="AG24">
        <v>11</v>
      </c>
      <c r="AH24">
        <v>83.6</v>
      </c>
      <c r="AI24">
        <v>89.1</v>
      </c>
      <c r="AJ24">
        <v>282.48899999999998</v>
      </c>
      <c r="AK24">
        <v>89.073910575770952</v>
      </c>
      <c r="AL24">
        <v>578.70000000000005</v>
      </c>
    </row>
    <row r="25" spans="1:38" x14ac:dyDescent="0.3">
      <c r="A25">
        <v>2023</v>
      </c>
      <c r="B25">
        <v>24</v>
      </c>
      <c r="C25">
        <v>103.4</v>
      </c>
      <c r="D25">
        <v>213541</v>
      </c>
      <c r="E25">
        <v>1195595.0589999999</v>
      </c>
      <c r="F25">
        <v>85.2</v>
      </c>
      <c r="G25">
        <v>1.6967454695692927</v>
      </c>
      <c r="H25">
        <v>3261</v>
      </c>
      <c r="I25">
        <v>63.640999999999998</v>
      </c>
      <c r="J25">
        <v>59969</v>
      </c>
      <c r="K25">
        <v>83.2</v>
      </c>
      <c r="L25">
        <v>18.3</v>
      </c>
      <c r="M25">
        <v>2</v>
      </c>
      <c r="N25">
        <v>-3.5</v>
      </c>
      <c r="O25">
        <v>2</v>
      </c>
      <c r="P25">
        <v>289.04457012560198</v>
      </c>
      <c r="Q25">
        <v>209344</v>
      </c>
      <c r="R25">
        <v>2888158</v>
      </c>
      <c r="S25">
        <v>85.6</v>
      </c>
      <c r="T25">
        <v>111.5</v>
      </c>
      <c r="U25">
        <v>1149928.65994424</v>
      </c>
      <c r="V25">
        <v>106.2</v>
      </c>
      <c r="W25">
        <v>5189287.3</v>
      </c>
      <c r="X25">
        <v>25934251</v>
      </c>
      <c r="Y25">
        <v>622</v>
      </c>
      <c r="Z25">
        <v>14.134601574253873</v>
      </c>
      <c r="AA25">
        <v>499661.69900000002</v>
      </c>
      <c r="AB25">
        <v>822</v>
      </c>
      <c r="AC25">
        <v>2045</v>
      </c>
      <c r="AD25">
        <v>421</v>
      </c>
      <c r="AE25">
        <v>702</v>
      </c>
      <c r="AF25">
        <v>4987</v>
      </c>
      <c r="AG25">
        <v>10</v>
      </c>
      <c r="AH25">
        <v>84.300000000000011</v>
      </c>
      <c r="AI25">
        <v>91.4</v>
      </c>
      <c r="AJ25">
        <v>266.57900000000001</v>
      </c>
      <c r="AK25">
        <v>87.821904495214881</v>
      </c>
      <c r="AL25">
        <v>595.9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4ACD-DA3A-47C5-A542-6C7BAF055ABE}">
  <dimension ref="A1:AN87"/>
  <sheetViews>
    <sheetView zoomScale="86" zoomScaleNormal="86" workbookViewId="0">
      <selection activeCell="D8" sqref="D8"/>
    </sheetView>
  </sheetViews>
  <sheetFormatPr defaultRowHeight="14.4" x14ac:dyDescent="0.3"/>
  <cols>
    <col min="1" max="1" width="34.109375" customWidth="1"/>
    <col min="2" max="2" width="9.109375" bestFit="1" customWidth="1"/>
    <col min="3" max="3" width="9.88671875" bestFit="1" customWidth="1"/>
    <col min="4" max="4" width="11" bestFit="1" customWidth="1"/>
    <col min="5" max="10" width="9.109375" bestFit="1" customWidth="1"/>
    <col min="11" max="11" width="8.77734375" bestFit="1" customWidth="1"/>
    <col min="12" max="12" width="9.109375" bestFit="1" customWidth="1"/>
    <col min="13" max="13" width="8.88671875" bestFit="1" customWidth="1"/>
    <col min="14" max="15" width="9.109375" bestFit="1" customWidth="1"/>
    <col min="16" max="16" width="9.88671875" bestFit="1" customWidth="1"/>
    <col min="17" max="17" width="11.88671875" bestFit="1" customWidth="1"/>
    <col min="18" max="19" width="9.109375" bestFit="1" customWidth="1"/>
    <col min="20" max="20" width="18.109375" bestFit="1" customWidth="1"/>
    <col min="21" max="21" width="11.44140625" bestFit="1" customWidth="1"/>
    <col min="22" max="22" width="12.88671875" bestFit="1" customWidth="1"/>
    <col min="23" max="23" width="11" bestFit="1" customWidth="1"/>
    <col min="24" max="24" width="9" bestFit="1" customWidth="1"/>
    <col min="25" max="25" width="9.88671875" bestFit="1" customWidth="1"/>
    <col min="26" max="26" width="11.6640625" bestFit="1" customWidth="1"/>
    <col min="27" max="29" width="9.109375" bestFit="1" customWidth="1"/>
    <col min="30" max="30" width="9.109375" customWidth="1"/>
    <col min="31" max="31" width="9.109375" bestFit="1" customWidth="1"/>
    <col min="37" max="37" width="23.109375" customWidth="1"/>
    <col min="38" max="38" width="13.44140625" bestFit="1" customWidth="1"/>
    <col min="39" max="39" width="16.88671875" customWidth="1"/>
    <col min="40" max="40" width="13.44140625" bestFit="1" customWidth="1"/>
  </cols>
  <sheetData>
    <row r="1" spans="1:40" ht="290.39999999999998" x14ac:dyDescent="0.3">
      <c r="A1" s="1" t="s">
        <v>37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2" t="s">
        <v>16</v>
      </c>
      <c r="P1" s="2" t="s">
        <v>18</v>
      </c>
      <c r="Q1" s="2" t="s">
        <v>138</v>
      </c>
      <c r="R1" s="2" t="s">
        <v>19</v>
      </c>
      <c r="S1" s="2" t="s">
        <v>20</v>
      </c>
      <c r="T1" s="30" t="s">
        <v>155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7" t="s">
        <v>153</v>
      </c>
      <c r="AG1" s="7" t="s">
        <v>156</v>
      </c>
      <c r="AH1" s="7" t="s">
        <v>157</v>
      </c>
      <c r="AI1" s="45" t="s">
        <v>158</v>
      </c>
      <c r="AJ1" s="45" t="s">
        <v>159</v>
      </c>
      <c r="AK1" s="45" t="s">
        <v>163</v>
      </c>
      <c r="AL1" s="45" t="s">
        <v>164</v>
      </c>
      <c r="AM1" s="46" t="s">
        <v>165</v>
      </c>
      <c r="AN1" s="49" t="s">
        <v>167</v>
      </c>
    </row>
    <row r="2" spans="1:40" x14ac:dyDescent="0.3">
      <c r="A2" s="31" t="s">
        <v>38</v>
      </c>
      <c r="B2" s="6">
        <v>99</v>
      </c>
      <c r="C2" s="5">
        <v>140761</v>
      </c>
      <c r="D2" s="5">
        <v>212209.94399999999</v>
      </c>
      <c r="E2" s="6">
        <v>82.1</v>
      </c>
      <c r="F2" s="6">
        <v>3.6997716186258827</v>
      </c>
      <c r="G2" s="17">
        <v>822</v>
      </c>
      <c r="H2" s="6">
        <v>9.32</v>
      </c>
      <c r="I2" s="17">
        <v>35281</v>
      </c>
      <c r="J2" s="9">
        <v>74.7</v>
      </c>
      <c r="K2" s="9">
        <v>11.4</v>
      </c>
      <c r="L2" s="9">
        <v>3.7</v>
      </c>
      <c r="M2" s="9">
        <v>10.199999999999999</v>
      </c>
      <c r="N2" s="9">
        <v>3.7</v>
      </c>
      <c r="O2" s="9">
        <v>340.43376943063015</v>
      </c>
      <c r="P2" s="11">
        <v>26351</v>
      </c>
      <c r="Q2" s="11">
        <v>343530</v>
      </c>
      <c r="R2" s="9">
        <v>98.9</v>
      </c>
      <c r="S2" s="6">
        <v>104.7</v>
      </c>
      <c r="T2" s="30">
        <v>1380623461.81288</v>
      </c>
      <c r="U2" s="9">
        <v>99.2</v>
      </c>
      <c r="V2" s="32">
        <v>775985.3</v>
      </c>
      <c r="W2" s="19">
        <v>3472806</v>
      </c>
      <c r="X2" s="19">
        <v>636</v>
      </c>
      <c r="Y2" s="17">
        <v>10073</v>
      </c>
      <c r="Z2" s="16">
        <v>192562.587</v>
      </c>
      <c r="AA2" s="7">
        <v>6001</v>
      </c>
      <c r="AB2" s="29">
        <v>112</v>
      </c>
      <c r="AC2" s="7">
        <v>152</v>
      </c>
      <c r="AD2" s="11">
        <v>909</v>
      </c>
      <c r="AE2" s="11">
        <v>149</v>
      </c>
      <c r="AF2" s="11">
        <v>732</v>
      </c>
      <c r="AG2" s="40">
        <v>8</v>
      </c>
      <c r="AH2" s="40">
        <v>766.2</v>
      </c>
      <c r="AI2" s="40">
        <v>71.400000000000006</v>
      </c>
      <c r="AJ2" s="40">
        <v>44.7</v>
      </c>
      <c r="AK2" s="40">
        <v>62.482999999999997</v>
      </c>
      <c r="AL2" s="40">
        <v>80.532821220049755</v>
      </c>
      <c r="AM2" s="40">
        <v>166.1</v>
      </c>
      <c r="AN2" s="40">
        <v>198001.36724548001</v>
      </c>
    </row>
    <row r="3" spans="1:40" x14ac:dyDescent="0.3">
      <c r="A3" s="31" t="s">
        <v>39</v>
      </c>
      <c r="B3" s="6">
        <v>93.4</v>
      </c>
      <c r="C3" s="5">
        <v>82039</v>
      </c>
      <c r="D3" s="5">
        <v>94135.514999999999</v>
      </c>
      <c r="E3" s="6">
        <v>78</v>
      </c>
      <c r="F3" s="6">
        <v>2.7672386930880521</v>
      </c>
      <c r="G3" s="17">
        <v>573</v>
      </c>
      <c r="H3" s="6">
        <v>4.4059999999999997</v>
      </c>
      <c r="I3" s="17">
        <v>32470</v>
      </c>
      <c r="J3" s="9">
        <v>79.3</v>
      </c>
      <c r="K3" s="9">
        <v>10.9</v>
      </c>
      <c r="L3" s="9">
        <v>1.4</v>
      </c>
      <c r="M3" s="9">
        <v>8.4</v>
      </c>
      <c r="N3" s="9">
        <v>1.4</v>
      </c>
      <c r="O3" s="9">
        <v>216.35165843256851</v>
      </c>
      <c r="P3" s="11">
        <v>14724</v>
      </c>
      <c r="Q3" s="11">
        <v>69640</v>
      </c>
      <c r="R3" s="9">
        <v>95.3</v>
      </c>
      <c r="S3" s="6">
        <v>115.8</v>
      </c>
      <c r="T3" s="30">
        <v>510380684.63275689</v>
      </c>
      <c r="U3" s="9">
        <v>99.9</v>
      </c>
      <c r="V3" s="32">
        <v>561200.69999999995</v>
      </c>
      <c r="W3" s="19">
        <v>2024985</v>
      </c>
      <c r="X3" s="19">
        <v>496</v>
      </c>
      <c r="Y3" s="17">
        <v>6869</v>
      </c>
      <c r="Z3" s="16">
        <v>31258.2</v>
      </c>
      <c r="AA3" s="7">
        <v>6792</v>
      </c>
      <c r="AB3" s="29">
        <v>98</v>
      </c>
      <c r="AC3" s="7">
        <v>173</v>
      </c>
      <c r="AD3" s="11">
        <v>688</v>
      </c>
      <c r="AE3" s="11">
        <v>57</v>
      </c>
      <c r="AF3" s="11">
        <v>677</v>
      </c>
      <c r="AG3" s="40">
        <v>17</v>
      </c>
      <c r="AH3" s="40">
        <v>839.30000000000007</v>
      </c>
      <c r="AI3" s="40">
        <v>75</v>
      </c>
      <c r="AJ3" s="40">
        <v>40.400000000000006</v>
      </c>
      <c r="AK3" s="40">
        <v>45.179000000000002</v>
      </c>
      <c r="AL3" s="40">
        <v>75.238142819078064</v>
      </c>
      <c r="AM3" s="40">
        <v>130.69999999999999</v>
      </c>
      <c r="AN3" s="40">
        <v>114343.70964776</v>
      </c>
    </row>
    <row r="4" spans="1:40" x14ac:dyDescent="0.3">
      <c r="A4" s="31" t="s">
        <v>40</v>
      </c>
      <c r="B4" s="6">
        <v>91.2</v>
      </c>
      <c r="C4" s="5">
        <v>137912</v>
      </c>
      <c r="D4" s="5">
        <v>181730.82500000001</v>
      </c>
      <c r="E4" s="6">
        <v>85</v>
      </c>
      <c r="F4" s="6">
        <v>2.0682089664221266</v>
      </c>
      <c r="G4" s="17">
        <v>713</v>
      </c>
      <c r="H4" s="6">
        <v>5.1840000000000002</v>
      </c>
      <c r="I4" s="17">
        <v>29346</v>
      </c>
      <c r="J4" s="9">
        <v>75.900000000000006</v>
      </c>
      <c r="K4" s="9">
        <v>13.4</v>
      </c>
      <c r="L4" s="9">
        <v>1.4</v>
      </c>
      <c r="M4" s="9">
        <v>9.3000000000000007</v>
      </c>
      <c r="N4" s="9">
        <v>1.4</v>
      </c>
      <c r="O4" s="9">
        <v>316.77433046653977</v>
      </c>
      <c r="P4" s="11">
        <v>25482</v>
      </c>
      <c r="Q4" s="11">
        <v>115169</v>
      </c>
      <c r="R4" s="9">
        <v>84.1</v>
      </c>
      <c r="S4" s="6">
        <v>109.3</v>
      </c>
      <c r="T4" s="30">
        <v>726655908.98358977</v>
      </c>
      <c r="U4" s="9">
        <v>93.4</v>
      </c>
      <c r="V4" s="32">
        <v>605429.19999999995</v>
      </c>
      <c r="W4" s="19">
        <v>2261015</v>
      </c>
      <c r="X4" s="19">
        <v>869</v>
      </c>
      <c r="Y4" s="17">
        <v>11018.342105263158</v>
      </c>
      <c r="Z4" s="16">
        <v>34654.079399999995</v>
      </c>
      <c r="AA4" s="7">
        <v>6592</v>
      </c>
      <c r="AB4" s="29">
        <v>170</v>
      </c>
      <c r="AC4" s="7">
        <v>78</v>
      </c>
      <c r="AD4" s="11">
        <v>857</v>
      </c>
      <c r="AE4" s="11">
        <v>71</v>
      </c>
      <c r="AF4" s="11">
        <v>1292</v>
      </c>
      <c r="AG4" s="40">
        <v>12</v>
      </c>
      <c r="AH4" s="40">
        <v>1015.3000000000001</v>
      </c>
      <c r="AI4" s="40">
        <v>83.600000000000009</v>
      </c>
      <c r="AJ4" s="40">
        <v>38</v>
      </c>
      <c r="AK4" s="40">
        <v>59.064999999999998</v>
      </c>
      <c r="AL4" s="40">
        <v>91.263771071864525</v>
      </c>
      <c r="AM4" s="40">
        <v>151.5</v>
      </c>
      <c r="AN4" s="40">
        <v>125992.1502247</v>
      </c>
    </row>
    <row r="5" spans="1:40" x14ac:dyDescent="0.3">
      <c r="A5" s="31" t="s">
        <v>41</v>
      </c>
      <c r="B5" s="6">
        <v>100.5</v>
      </c>
      <c r="C5" s="5">
        <v>164141</v>
      </c>
      <c r="D5" s="5">
        <v>374135.18099999998</v>
      </c>
      <c r="E5" s="6">
        <v>78.5</v>
      </c>
      <c r="F5" s="6">
        <v>3.3917532632562462</v>
      </c>
      <c r="G5" s="17">
        <v>1207</v>
      </c>
      <c r="H5" s="6">
        <v>17.481999999999999</v>
      </c>
      <c r="I5" s="17">
        <v>37678</v>
      </c>
      <c r="J5" s="9">
        <v>83.5</v>
      </c>
      <c r="K5" s="9">
        <v>11.8</v>
      </c>
      <c r="L5" s="9">
        <v>1.2</v>
      </c>
      <c r="M5" s="9">
        <v>3.5</v>
      </c>
      <c r="N5" s="9">
        <v>1.2</v>
      </c>
      <c r="O5" s="9">
        <v>366.24869084730165</v>
      </c>
      <c r="P5" s="11">
        <v>39240</v>
      </c>
      <c r="Q5" s="11">
        <v>151186</v>
      </c>
      <c r="R5" s="9">
        <v>109.8</v>
      </c>
      <c r="S5" s="6">
        <v>109.9</v>
      </c>
      <c r="T5" s="30">
        <v>1283285255.7829626</v>
      </c>
      <c r="U5" s="9">
        <v>97.6</v>
      </c>
      <c r="V5" s="32">
        <v>1172379.3</v>
      </c>
      <c r="W5" s="19">
        <v>5140814</v>
      </c>
      <c r="X5" s="19">
        <v>884</v>
      </c>
      <c r="Y5" s="17">
        <v>25061</v>
      </c>
      <c r="Z5" s="16">
        <v>32762.757799999999</v>
      </c>
      <c r="AA5" s="7">
        <v>5899</v>
      </c>
      <c r="AB5" s="29">
        <v>173</v>
      </c>
      <c r="AC5" s="7">
        <v>228</v>
      </c>
      <c r="AD5" s="11">
        <v>1350</v>
      </c>
      <c r="AE5" s="11">
        <v>72</v>
      </c>
      <c r="AF5" s="11">
        <v>401</v>
      </c>
      <c r="AG5" s="40">
        <v>9</v>
      </c>
      <c r="AH5" s="40">
        <v>590.6</v>
      </c>
      <c r="AI5" s="40">
        <v>77.600000000000009</v>
      </c>
      <c r="AJ5" s="40">
        <v>56.1</v>
      </c>
      <c r="AK5" s="40">
        <v>92.686999999999998</v>
      </c>
      <c r="AL5" s="40">
        <v>77.764726610677158</v>
      </c>
      <c r="AM5" s="40">
        <v>255.9</v>
      </c>
      <c r="AN5" s="40">
        <v>226272.04502579002</v>
      </c>
    </row>
    <row r="6" spans="1:40" x14ac:dyDescent="0.3">
      <c r="A6" s="31" t="s">
        <v>42</v>
      </c>
      <c r="B6" s="6">
        <v>97.8</v>
      </c>
      <c r="C6" s="5">
        <v>74152</v>
      </c>
      <c r="D6" s="5">
        <v>67501.769</v>
      </c>
      <c r="E6" s="6">
        <v>83.5</v>
      </c>
      <c r="F6" s="6">
        <v>3.094837342679754</v>
      </c>
      <c r="G6" s="17">
        <v>481</v>
      </c>
      <c r="H6" s="6">
        <v>4.6070000000000002</v>
      </c>
      <c r="I6" s="17">
        <v>31683</v>
      </c>
      <c r="J6" s="9">
        <v>77.099999999999994</v>
      </c>
      <c r="K6" s="9">
        <v>10.199999999999999</v>
      </c>
      <c r="L6" s="9">
        <v>0.9</v>
      </c>
      <c r="M6" s="9">
        <v>11.8</v>
      </c>
      <c r="N6" s="9">
        <v>0.9</v>
      </c>
      <c r="O6" s="9">
        <v>362.37774588806707</v>
      </c>
      <c r="P6" s="11">
        <v>23884</v>
      </c>
      <c r="Q6" s="11">
        <v>28573</v>
      </c>
      <c r="R6" s="9">
        <v>112.3</v>
      </c>
      <c r="S6" s="6">
        <v>110</v>
      </c>
      <c r="T6" s="30">
        <v>328216781.06707525</v>
      </c>
      <c r="U6" s="9">
        <v>100</v>
      </c>
      <c r="V6" s="32">
        <v>421012.5</v>
      </c>
      <c r="W6" s="19">
        <v>1250017</v>
      </c>
      <c r="X6" s="19">
        <v>562</v>
      </c>
      <c r="Y6" s="17">
        <v>5037</v>
      </c>
      <c r="Z6" s="16">
        <v>13668.9305</v>
      </c>
      <c r="AA6" s="7">
        <v>8511</v>
      </c>
      <c r="AB6" s="29">
        <v>135</v>
      </c>
      <c r="AC6" s="7">
        <v>350</v>
      </c>
      <c r="AD6" s="11">
        <v>553</v>
      </c>
      <c r="AE6" s="11">
        <v>38</v>
      </c>
      <c r="AF6" s="11">
        <v>619</v>
      </c>
      <c r="AG6" s="40">
        <v>11</v>
      </c>
      <c r="AH6" s="40">
        <v>778.2</v>
      </c>
      <c r="AI6" s="40">
        <v>92.300000000000011</v>
      </c>
      <c r="AJ6" s="40">
        <v>47.7</v>
      </c>
      <c r="AK6" s="40">
        <v>42.615000000000002</v>
      </c>
      <c r="AL6" s="40">
        <v>94.070771064656412</v>
      </c>
      <c r="AM6" s="40">
        <v>105.2</v>
      </c>
      <c r="AN6" s="40">
        <v>81340.357413009988</v>
      </c>
    </row>
    <row r="7" spans="1:40" x14ac:dyDescent="0.3">
      <c r="A7" s="31" t="s">
        <v>43</v>
      </c>
      <c r="B7" s="6">
        <v>79.599999999999994</v>
      </c>
      <c r="C7" s="5">
        <v>117541</v>
      </c>
      <c r="D7" s="5">
        <v>125725.44500000001</v>
      </c>
      <c r="E7" s="6">
        <v>80.599999999999994</v>
      </c>
      <c r="F7" s="6">
        <v>1.6619675829169811</v>
      </c>
      <c r="G7" s="17">
        <v>566</v>
      </c>
      <c r="H7" s="6">
        <v>3.7679999999999998</v>
      </c>
      <c r="I7" s="17">
        <v>31984</v>
      </c>
      <c r="J7" s="9">
        <v>71.8</v>
      </c>
      <c r="K7" s="9">
        <v>13.4</v>
      </c>
      <c r="L7" s="9">
        <v>3.2</v>
      </c>
      <c r="M7" s="9">
        <v>11.6</v>
      </c>
      <c r="N7" s="9">
        <v>3.2</v>
      </c>
      <c r="O7" s="9">
        <v>292.3315955485254</v>
      </c>
      <c r="P7" s="11">
        <v>21701</v>
      </c>
      <c r="Q7" s="11">
        <v>4990</v>
      </c>
      <c r="R7" s="9">
        <v>92.9</v>
      </c>
      <c r="S7" s="6">
        <v>111</v>
      </c>
      <c r="T7" s="30">
        <v>631121001.7823838</v>
      </c>
      <c r="U7" s="9">
        <v>88.5</v>
      </c>
      <c r="V7" s="32">
        <v>509563.5</v>
      </c>
      <c r="W7" s="19">
        <v>2812417</v>
      </c>
      <c r="X7" s="19">
        <v>1046</v>
      </c>
      <c r="Y7" s="17">
        <v>11756.473684210527</v>
      </c>
      <c r="Z7" s="16">
        <v>31182.308199999999</v>
      </c>
      <c r="AA7" s="7">
        <v>6642</v>
      </c>
      <c r="AB7" s="29">
        <v>133</v>
      </c>
      <c r="AC7" s="7">
        <v>205</v>
      </c>
      <c r="AD7" s="11">
        <v>625</v>
      </c>
      <c r="AE7" s="11">
        <v>79</v>
      </c>
      <c r="AF7" s="11">
        <v>1108</v>
      </c>
      <c r="AG7" s="40">
        <v>12</v>
      </c>
      <c r="AH7" s="40">
        <v>1042.7</v>
      </c>
      <c r="AI7" s="40">
        <v>65.8</v>
      </c>
      <c r="AJ7" s="40">
        <v>40.5</v>
      </c>
      <c r="AK7" s="40">
        <v>47.350999999999999</v>
      </c>
      <c r="AL7" s="40">
        <v>78.193738027610806</v>
      </c>
      <c r="AM7" s="40">
        <v>123.4</v>
      </c>
      <c r="AN7" s="40">
        <v>113085.33166174001</v>
      </c>
    </row>
    <row r="8" spans="1:40" x14ac:dyDescent="0.3">
      <c r="A8" s="31" t="s">
        <v>44</v>
      </c>
      <c r="B8" s="6">
        <v>114.4</v>
      </c>
      <c r="C8" s="5">
        <v>84171</v>
      </c>
      <c r="D8" s="5">
        <v>47900.237000000001</v>
      </c>
      <c r="E8" s="6">
        <v>80.5</v>
      </c>
      <c r="F8" s="6">
        <v>3.2382007938127755</v>
      </c>
      <c r="G8" s="17">
        <v>281</v>
      </c>
      <c r="H8" s="6">
        <v>1.7749999999999999</v>
      </c>
      <c r="I8" s="17">
        <v>33526</v>
      </c>
      <c r="J8" s="9">
        <v>76.8</v>
      </c>
      <c r="K8" s="9">
        <v>12.6</v>
      </c>
      <c r="L8" s="9">
        <v>1</v>
      </c>
      <c r="M8" s="9">
        <v>9.6</v>
      </c>
      <c r="N8" s="9">
        <v>1</v>
      </c>
      <c r="O8" s="9">
        <v>334.6413169782399</v>
      </c>
      <c r="P8" s="11">
        <v>12886</v>
      </c>
      <c r="Q8" s="11">
        <v>18604</v>
      </c>
      <c r="R8" s="9">
        <v>101.1</v>
      </c>
      <c r="S8" s="6">
        <v>108.7</v>
      </c>
      <c r="T8" s="30">
        <v>257686000.25773457</v>
      </c>
      <c r="U8" s="9">
        <v>98.3</v>
      </c>
      <c r="V8" s="33">
        <v>272629</v>
      </c>
      <c r="W8" s="19">
        <v>1061216</v>
      </c>
      <c r="X8" s="19">
        <v>633</v>
      </c>
      <c r="Y8" s="17">
        <v>3937</v>
      </c>
      <c r="Z8" s="16">
        <v>3868.3882999999996</v>
      </c>
      <c r="AA8" s="7">
        <v>10260</v>
      </c>
      <c r="AB8" s="29">
        <v>66</v>
      </c>
      <c r="AC8" s="7">
        <v>257</v>
      </c>
      <c r="AD8" s="11">
        <v>413</v>
      </c>
      <c r="AE8" s="11">
        <v>33</v>
      </c>
      <c r="AF8" s="11">
        <v>1124</v>
      </c>
      <c r="AG8" s="40">
        <v>17</v>
      </c>
      <c r="AH8" s="40">
        <v>821</v>
      </c>
      <c r="AI8" s="40">
        <v>100.2</v>
      </c>
      <c r="AJ8" s="40">
        <v>40</v>
      </c>
      <c r="AK8" s="40">
        <v>28.942</v>
      </c>
      <c r="AL8" s="40">
        <v>89.868032914143768</v>
      </c>
      <c r="AM8" s="40">
        <v>75.5</v>
      </c>
      <c r="AN8" s="40">
        <v>63093.404360610002</v>
      </c>
    </row>
    <row r="9" spans="1:40" x14ac:dyDescent="0.3">
      <c r="A9" s="31" t="s">
        <v>45</v>
      </c>
      <c r="B9" s="6">
        <v>102.9</v>
      </c>
      <c r="C9" s="5">
        <v>217341</v>
      </c>
      <c r="D9" s="5">
        <v>231242.88699999999</v>
      </c>
      <c r="E9" s="6">
        <v>81.3</v>
      </c>
      <c r="F9" s="6">
        <v>2.4972510227816178</v>
      </c>
      <c r="G9" s="17">
        <v>544</v>
      </c>
      <c r="H9" s="6">
        <v>7.3630000000000004</v>
      </c>
      <c r="I9" s="17">
        <v>31887</v>
      </c>
      <c r="J9" s="9">
        <v>73</v>
      </c>
      <c r="K9" s="9">
        <v>11.9</v>
      </c>
      <c r="L9" s="9">
        <v>3.1</v>
      </c>
      <c r="M9" s="9">
        <v>12</v>
      </c>
      <c r="N9" s="9">
        <v>3.1</v>
      </c>
      <c r="O9" s="9">
        <v>333.9378560682897</v>
      </c>
      <c r="P9" s="11">
        <v>16145</v>
      </c>
      <c r="Q9" s="11">
        <v>108944</v>
      </c>
      <c r="R9" s="9">
        <v>97.2</v>
      </c>
      <c r="S9" s="6">
        <v>111.3</v>
      </c>
      <c r="T9" s="30">
        <v>679641267.68608582</v>
      </c>
      <c r="U9" s="9">
        <v>94.6</v>
      </c>
      <c r="V9" s="32">
        <v>508601.8</v>
      </c>
      <c r="W9" s="19">
        <v>2414666</v>
      </c>
      <c r="X9" s="19">
        <v>582</v>
      </c>
      <c r="Y9" s="17">
        <v>6395.4473684210525</v>
      </c>
      <c r="Z9" s="16">
        <v>36368.843700000005</v>
      </c>
      <c r="AA9" s="7">
        <v>8072</v>
      </c>
      <c r="AB9" s="29">
        <v>76</v>
      </c>
      <c r="AC9" s="7">
        <v>234</v>
      </c>
      <c r="AD9" s="11">
        <v>679</v>
      </c>
      <c r="AE9" s="11">
        <v>54</v>
      </c>
      <c r="AF9" s="11">
        <v>559</v>
      </c>
      <c r="AG9" s="40">
        <v>14</v>
      </c>
      <c r="AH9" s="40">
        <v>595.5</v>
      </c>
      <c r="AI9" s="40">
        <v>80</v>
      </c>
      <c r="AJ9" s="40">
        <v>53.5</v>
      </c>
      <c r="AK9" s="40">
        <v>34.747999999999998</v>
      </c>
      <c r="AL9" s="40">
        <v>61.406330075812463</v>
      </c>
      <c r="AM9" s="40">
        <v>121.9</v>
      </c>
      <c r="AN9" s="40">
        <v>122960.52499484</v>
      </c>
    </row>
    <row r="10" spans="1:40" x14ac:dyDescent="0.3">
      <c r="A10" s="31" t="s">
        <v>46</v>
      </c>
      <c r="B10" s="6">
        <v>104.1</v>
      </c>
      <c r="C10" s="5">
        <v>166959</v>
      </c>
      <c r="D10" s="5">
        <v>187205.10699999999</v>
      </c>
      <c r="E10" s="6">
        <v>80.8</v>
      </c>
      <c r="F10" s="6">
        <v>3.1185899364540224</v>
      </c>
      <c r="G10" s="17">
        <v>596</v>
      </c>
      <c r="H10" s="6">
        <v>3.9409999999999998</v>
      </c>
      <c r="I10" s="17">
        <v>35308</v>
      </c>
      <c r="J10" s="9">
        <v>77.7</v>
      </c>
      <c r="K10" s="9">
        <v>10.6</v>
      </c>
      <c r="L10" s="9">
        <v>1.5</v>
      </c>
      <c r="M10" s="9">
        <v>10.199999999999999</v>
      </c>
      <c r="N10" s="9">
        <v>1.5</v>
      </c>
      <c r="O10" s="9">
        <v>409.49953640040673</v>
      </c>
      <c r="P10" s="11">
        <v>17609</v>
      </c>
      <c r="Q10" s="11">
        <v>358586</v>
      </c>
      <c r="R10" s="9">
        <v>105</v>
      </c>
      <c r="S10" s="6">
        <v>108.9</v>
      </c>
      <c r="T10" s="30">
        <v>904990105.4072783</v>
      </c>
      <c r="U10" s="9">
        <v>92</v>
      </c>
      <c r="V10" s="32">
        <v>569398.1</v>
      </c>
      <c r="W10" s="19">
        <v>2585548</v>
      </c>
      <c r="X10" s="19">
        <v>688</v>
      </c>
      <c r="Y10" s="17">
        <v>6718</v>
      </c>
      <c r="Z10" s="16">
        <v>68970.50970000001</v>
      </c>
      <c r="AA10" s="7">
        <v>6891</v>
      </c>
      <c r="AB10" s="29">
        <v>105</v>
      </c>
      <c r="AC10" s="7">
        <v>200</v>
      </c>
      <c r="AD10" s="11">
        <v>660</v>
      </c>
      <c r="AE10" s="11">
        <v>59</v>
      </c>
      <c r="AF10" s="11">
        <v>198</v>
      </c>
      <c r="AG10" s="40">
        <v>10</v>
      </c>
      <c r="AH10" s="40">
        <v>646.70000000000005</v>
      </c>
      <c r="AI10" s="40">
        <v>81.800000000000011</v>
      </c>
      <c r="AJ10" s="40">
        <v>40.200000000000003</v>
      </c>
      <c r="AK10" s="40">
        <v>46.304000000000002</v>
      </c>
      <c r="AL10" s="40">
        <v>78.271746847425533</v>
      </c>
      <c r="AM10" s="40">
        <v>128.19999999999999</v>
      </c>
      <c r="AN10" s="40">
        <v>136106.44657835999</v>
      </c>
    </row>
    <row r="11" spans="1:40" x14ac:dyDescent="0.3">
      <c r="A11" s="31" t="s">
        <v>47</v>
      </c>
      <c r="B11" s="6">
        <v>106.2</v>
      </c>
      <c r="C11" s="5">
        <v>184834</v>
      </c>
      <c r="D11" s="5">
        <v>1593544.7790000001</v>
      </c>
      <c r="E11" s="6">
        <v>81.8</v>
      </c>
      <c r="F11" s="6">
        <v>2.7284829345612942</v>
      </c>
      <c r="G11" s="17">
        <v>4708</v>
      </c>
      <c r="H11" s="6">
        <v>14.579000000000001</v>
      </c>
      <c r="I11" s="17">
        <v>50139</v>
      </c>
      <c r="J11" s="9">
        <v>77.3</v>
      </c>
      <c r="K11" s="9">
        <v>15.5</v>
      </c>
      <c r="L11" s="9">
        <v>3.3</v>
      </c>
      <c r="M11" s="9">
        <v>3.9</v>
      </c>
      <c r="N11" s="9">
        <v>3.3</v>
      </c>
      <c r="O11" s="9">
        <v>321.59165254540954</v>
      </c>
      <c r="P11" s="11">
        <v>192755</v>
      </c>
      <c r="Q11" s="11">
        <v>1707059</v>
      </c>
      <c r="R11" s="9">
        <v>125.8</v>
      </c>
      <c r="S11" s="6">
        <v>116.2</v>
      </c>
      <c r="T11" s="30">
        <v>7037724810.9888306</v>
      </c>
      <c r="U11" s="9">
        <v>95</v>
      </c>
      <c r="V11" s="32">
        <v>6369874.4000000004</v>
      </c>
      <c r="W11" s="19">
        <v>34218395</v>
      </c>
      <c r="X11" s="19">
        <v>1448</v>
      </c>
      <c r="Y11" s="17">
        <v>152226</v>
      </c>
      <c r="Z11" s="16">
        <v>657305.49129999999</v>
      </c>
      <c r="AA11" s="7">
        <v>1831</v>
      </c>
      <c r="AB11" s="29">
        <v>1160</v>
      </c>
      <c r="AC11" s="7">
        <v>104</v>
      </c>
      <c r="AD11" s="11">
        <v>2594</v>
      </c>
      <c r="AE11" s="11">
        <v>381</v>
      </c>
      <c r="AF11" s="11">
        <v>851</v>
      </c>
      <c r="AG11" s="40">
        <v>9</v>
      </c>
      <c r="AH11" s="40">
        <v>701</v>
      </c>
      <c r="AI11" s="40">
        <v>64</v>
      </c>
      <c r="AJ11" s="40">
        <v>44.7</v>
      </c>
      <c r="AK11" s="40">
        <v>438.73700000000002</v>
      </c>
      <c r="AL11" s="40">
        <v>78.637412980979491</v>
      </c>
      <c r="AM11" s="40">
        <v>1074.5</v>
      </c>
      <c r="AN11" s="40">
        <v>1247540.93839869</v>
      </c>
    </row>
    <row r="12" spans="1:40" x14ac:dyDescent="0.3">
      <c r="A12" s="31" t="s">
        <v>48</v>
      </c>
      <c r="B12" s="6">
        <v>88.3</v>
      </c>
      <c r="C12" s="5">
        <v>83807</v>
      </c>
      <c r="D12" s="5">
        <v>58361.904000000002</v>
      </c>
      <c r="E12" s="6">
        <v>75.5</v>
      </c>
      <c r="F12" s="6">
        <v>3.6273777250245756</v>
      </c>
      <c r="G12" s="17">
        <v>343</v>
      </c>
      <c r="H12" s="6">
        <v>5.4009999999999998</v>
      </c>
      <c r="I12" s="17">
        <v>30887</v>
      </c>
      <c r="J12" s="9">
        <v>70.599999999999994</v>
      </c>
      <c r="K12" s="9">
        <v>10.4</v>
      </c>
      <c r="L12" s="9">
        <v>1.7</v>
      </c>
      <c r="M12" s="9">
        <v>17.3</v>
      </c>
      <c r="N12" s="9">
        <v>1.7</v>
      </c>
      <c r="O12" s="9">
        <v>355.50032780446099</v>
      </c>
      <c r="P12" s="11">
        <v>11541</v>
      </c>
      <c r="Q12" s="11">
        <v>58286</v>
      </c>
      <c r="R12" s="9">
        <v>116.2</v>
      </c>
      <c r="S12" s="6">
        <v>103.6</v>
      </c>
      <c r="T12" s="30">
        <v>344103181.7004649</v>
      </c>
      <c r="U12" s="9">
        <v>97.1</v>
      </c>
      <c r="V12" s="32">
        <v>326052.2</v>
      </c>
      <c r="W12" s="19">
        <v>1229101</v>
      </c>
      <c r="X12" s="19">
        <v>538</v>
      </c>
      <c r="Y12" s="17">
        <v>4764</v>
      </c>
      <c r="Z12" s="16">
        <v>3881.1579999999999</v>
      </c>
      <c r="AA12" s="7">
        <v>6796</v>
      </c>
      <c r="AB12" s="29">
        <v>76</v>
      </c>
      <c r="AC12" s="7">
        <v>327</v>
      </c>
      <c r="AD12" s="11">
        <v>518</v>
      </c>
      <c r="AE12" s="11">
        <v>33</v>
      </c>
      <c r="AF12" s="11">
        <v>405</v>
      </c>
      <c r="AG12" s="40">
        <v>14</v>
      </c>
      <c r="AH12" s="40">
        <v>1146.2</v>
      </c>
      <c r="AI12" s="40">
        <v>86</v>
      </c>
      <c r="AJ12" s="40">
        <v>46.300000000000004</v>
      </c>
      <c r="AK12" s="40">
        <v>26.751000000000001</v>
      </c>
      <c r="AL12" s="40">
        <v>76.866272053330263</v>
      </c>
      <c r="AM12" s="40">
        <v>78.3</v>
      </c>
      <c r="AN12" s="40">
        <v>65516.90662075</v>
      </c>
    </row>
    <row r="13" spans="1:40" x14ac:dyDescent="0.3">
      <c r="A13" s="31" t="s">
        <v>49</v>
      </c>
      <c r="B13" s="6">
        <v>102.1</v>
      </c>
      <c r="C13" s="5">
        <v>93317</v>
      </c>
      <c r="D13" s="5">
        <v>101302.402</v>
      </c>
      <c r="E13" s="6">
        <v>76.900000000000006</v>
      </c>
      <c r="F13" s="6">
        <v>3.0341866182357187</v>
      </c>
      <c r="G13" s="17">
        <v>529</v>
      </c>
      <c r="H13" s="6">
        <v>5.4939999999999998</v>
      </c>
      <c r="I13" s="17">
        <v>30904</v>
      </c>
      <c r="J13" s="9">
        <v>77.400000000000006</v>
      </c>
      <c r="K13" s="9">
        <v>13.9</v>
      </c>
      <c r="L13" s="9">
        <v>1.6</v>
      </c>
      <c r="M13" s="9">
        <v>7.1</v>
      </c>
      <c r="N13" s="9">
        <v>1.6</v>
      </c>
      <c r="O13" s="9">
        <v>402.99621799782113</v>
      </c>
      <c r="P13" s="11">
        <v>22503</v>
      </c>
      <c r="Q13" s="11">
        <v>78787</v>
      </c>
      <c r="R13" s="9">
        <v>100.3</v>
      </c>
      <c r="S13" s="6">
        <v>108.6</v>
      </c>
      <c r="T13" s="30">
        <v>579850274.53804922</v>
      </c>
      <c r="U13" s="9">
        <v>101.7</v>
      </c>
      <c r="V13" s="32">
        <v>527781.4</v>
      </c>
      <c r="W13" s="19">
        <v>2724907</v>
      </c>
      <c r="X13" s="19">
        <v>726</v>
      </c>
      <c r="Y13" s="17">
        <v>10050</v>
      </c>
      <c r="Z13" s="16">
        <v>23197.085500000001</v>
      </c>
      <c r="AA13" s="7">
        <v>5850</v>
      </c>
      <c r="AB13" s="29">
        <v>94</v>
      </c>
      <c r="AC13" s="7">
        <v>264</v>
      </c>
      <c r="AD13" s="11">
        <v>621</v>
      </c>
      <c r="AE13" s="11">
        <v>63</v>
      </c>
      <c r="AF13" s="11">
        <v>1142</v>
      </c>
      <c r="AG13" s="40">
        <v>14</v>
      </c>
      <c r="AH13" s="40">
        <v>790.1</v>
      </c>
      <c r="AI13" s="40">
        <v>75.7</v>
      </c>
      <c r="AJ13" s="40">
        <v>57.2</v>
      </c>
      <c r="AK13" s="40">
        <v>42.612000000000002</v>
      </c>
      <c r="AL13" s="40">
        <v>79.082456433383442</v>
      </c>
      <c r="AM13" s="40">
        <v>120.2</v>
      </c>
      <c r="AN13" s="40">
        <v>115699.50395347</v>
      </c>
    </row>
    <row r="14" spans="1:40" x14ac:dyDescent="0.3">
      <c r="A14" s="31" t="s">
        <v>50</v>
      </c>
      <c r="B14" s="6">
        <v>128.9</v>
      </c>
      <c r="C14" s="5">
        <v>108973</v>
      </c>
      <c r="D14" s="5">
        <v>94644.167000000001</v>
      </c>
      <c r="E14" s="6">
        <v>80.599999999999994</v>
      </c>
      <c r="F14" s="6">
        <v>3.1436468310084336</v>
      </c>
      <c r="G14" s="17">
        <v>462</v>
      </c>
      <c r="H14" s="6">
        <v>4.1360000000000001</v>
      </c>
      <c r="I14" s="17">
        <v>30932</v>
      </c>
      <c r="J14" s="9">
        <v>72.400000000000006</v>
      </c>
      <c r="K14" s="9">
        <v>11.9</v>
      </c>
      <c r="L14" s="9">
        <v>1.2</v>
      </c>
      <c r="M14" s="9">
        <v>14.5</v>
      </c>
      <c r="N14" s="9">
        <v>1.2</v>
      </c>
      <c r="O14" s="9">
        <v>264.12550188833859</v>
      </c>
      <c r="P14" s="11">
        <v>24430</v>
      </c>
      <c r="Q14" s="11">
        <v>64850</v>
      </c>
      <c r="R14" s="9">
        <v>120.2</v>
      </c>
      <c r="S14" s="6">
        <v>111.1</v>
      </c>
      <c r="T14" s="30">
        <v>459697356.81315613</v>
      </c>
      <c r="U14" s="9">
        <v>100.1</v>
      </c>
      <c r="V14" s="32">
        <v>392604.1</v>
      </c>
      <c r="W14" s="19">
        <v>1705987</v>
      </c>
      <c r="X14" s="19">
        <v>612</v>
      </c>
      <c r="Y14" s="17">
        <v>5673</v>
      </c>
      <c r="Z14" s="16">
        <v>35836.7327</v>
      </c>
      <c r="AA14" s="7">
        <v>9143</v>
      </c>
      <c r="AB14" s="29">
        <v>75</v>
      </c>
      <c r="AC14" s="7">
        <v>169</v>
      </c>
      <c r="AD14" s="11">
        <v>914</v>
      </c>
      <c r="AE14" s="11">
        <v>66</v>
      </c>
      <c r="AF14" s="11">
        <v>813</v>
      </c>
      <c r="AG14" s="40">
        <v>14</v>
      </c>
      <c r="AH14" s="40">
        <v>667.6</v>
      </c>
      <c r="AI14" s="40">
        <v>93.7</v>
      </c>
      <c r="AJ14" s="40">
        <v>54.1</v>
      </c>
      <c r="AK14" s="40">
        <v>33.423000000000002</v>
      </c>
      <c r="AL14" s="40">
        <v>80.345681386571783</v>
      </c>
      <c r="AM14" s="40">
        <v>96.3</v>
      </c>
      <c r="AN14" s="40">
        <v>98137.610834240011</v>
      </c>
    </row>
    <row r="15" spans="1:40" x14ac:dyDescent="0.3">
      <c r="A15" s="31" t="s">
        <v>51</v>
      </c>
      <c r="B15" s="6">
        <v>104.6</v>
      </c>
      <c r="C15" s="5">
        <v>96120</v>
      </c>
      <c r="D15" s="5">
        <v>92397.817999999999</v>
      </c>
      <c r="E15" s="6">
        <v>77.7</v>
      </c>
      <c r="F15" s="6">
        <v>3.3149478679535882</v>
      </c>
      <c r="G15" s="17">
        <v>497</v>
      </c>
      <c r="H15" s="6">
        <v>5.78</v>
      </c>
      <c r="I15" s="17">
        <v>29757</v>
      </c>
      <c r="J15" s="9">
        <v>75.900000000000006</v>
      </c>
      <c r="K15" s="9">
        <v>10.4</v>
      </c>
      <c r="L15" s="9">
        <v>2.2000000000000002</v>
      </c>
      <c r="M15" s="9">
        <v>11.5</v>
      </c>
      <c r="N15" s="9">
        <v>2.2000000000000002</v>
      </c>
      <c r="O15" s="9">
        <v>400.77298565710055</v>
      </c>
      <c r="P15" s="11">
        <v>13302</v>
      </c>
      <c r="Q15" s="11">
        <v>83107</v>
      </c>
      <c r="R15" s="9">
        <v>98</v>
      </c>
      <c r="S15" s="6">
        <v>112.3</v>
      </c>
      <c r="T15" s="30">
        <v>472653492.53184628</v>
      </c>
      <c r="U15" s="9">
        <v>98.1</v>
      </c>
      <c r="V15" s="32">
        <v>423837.9</v>
      </c>
      <c r="W15" s="19">
        <v>1876724</v>
      </c>
      <c r="X15" s="19">
        <v>500</v>
      </c>
      <c r="Y15" s="17">
        <v>5384</v>
      </c>
      <c r="Z15" s="16">
        <v>21299.7372</v>
      </c>
      <c r="AA15" s="7">
        <v>9364</v>
      </c>
      <c r="AB15" s="29">
        <v>53</v>
      </c>
      <c r="AC15" s="7">
        <v>255</v>
      </c>
      <c r="AD15" s="11">
        <v>656</v>
      </c>
      <c r="AE15" s="11">
        <v>42</v>
      </c>
      <c r="AF15" s="11">
        <v>619</v>
      </c>
      <c r="AG15" s="40">
        <v>11</v>
      </c>
      <c r="AH15" s="40">
        <v>667.1</v>
      </c>
      <c r="AI15" s="40">
        <v>77.7</v>
      </c>
      <c r="AJ15" s="40">
        <v>46.1</v>
      </c>
      <c r="AK15" s="40">
        <v>38.094000000000001</v>
      </c>
      <c r="AL15" s="40">
        <v>90.041837048242613</v>
      </c>
      <c r="AM15" s="40">
        <v>98.4</v>
      </c>
      <c r="AN15" s="40">
        <v>83277.812906070001</v>
      </c>
    </row>
    <row r="16" spans="1:40" x14ac:dyDescent="0.3">
      <c r="A16" s="31" t="s">
        <v>52</v>
      </c>
      <c r="B16" s="6">
        <v>145.4</v>
      </c>
      <c r="C16" s="5">
        <v>117106</v>
      </c>
      <c r="D16" s="5">
        <v>141167.25200000001</v>
      </c>
      <c r="E16" s="6">
        <v>81.2</v>
      </c>
      <c r="F16" s="6">
        <v>3.1080397973484604</v>
      </c>
      <c r="G16" s="17">
        <v>634</v>
      </c>
      <c r="H16" s="6">
        <v>4.4320000000000004</v>
      </c>
      <c r="I16" s="17">
        <v>32507</v>
      </c>
      <c r="J16" s="9">
        <v>78.8</v>
      </c>
      <c r="K16" s="9">
        <v>13.5</v>
      </c>
      <c r="L16" s="9">
        <v>1.5</v>
      </c>
      <c r="M16" s="9">
        <v>6.2</v>
      </c>
      <c r="N16" s="9">
        <v>1.5</v>
      </c>
      <c r="O16" s="9">
        <v>410.12646833040634</v>
      </c>
      <c r="P16" s="11">
        <v>26799</v>
      </c>
      <c r="Q16" s="11">
        <v>48948</v>
      </c>
      <c r="R16" s="9">
        <v>164.5</v>
      </c>
      <c r="S16" s="6">
        <v>115.4</v>
      </c>
      <c r="T16" s="30">
        <v>604095403.03104544</v>
      </c>
      <c r="U16" s="9">
        <v>96.9</v>
      </c>
      <c r="V16" s="32">
        <v>603796.1</v>
      </c>
      <c r="W16" s="19">
        <v>3108141</v>
      </c>
      <c r="X16" s="19">
        <v>692</v>
      </c>
      <c r="Y16" s="17">
        <v>9956</v>
      </c>
      <c r="Z16" s="16">
        <v>52463.561900000001</v>
      </c>
      <c r="AA16" s="7">
        <v>7809</v>
      </c>
      <c r="AB16" s="29">
        <v>144</v>
      </c>
      <c r="AC16" s="7">
        <v>350</v>
      </c>
      <c r="AD16" s="11">
        <v>889</v>
      </c>
      <c r="AE16" s="11">
        <v>69</v>
      </c>
      <c r="AF16" s="11">
        <v>746</v>
      </c>
      <c r="AG16" s="40">
        <v>11</v>
      </c>
      <c r="AH16" s="40">
        <v>854.1</v>
      </c>
      <c r="AI16" s="40">
        <v>92.600000000000009</v>
      </c>
      <c r="AJ16" s="40">
        <v>49.2</v>
      </c>
      <c r="AK16" s="40">
        <v>54.253</v>
      </c>
      <c r="AL16" s="40">
        <v>86.681365735193083</v>
      </c>
      <c r="AM16" s="40">
        <v>142.1</v>
      </c>
      <c r="AN16" s="40">
        <v>134191.77513262001</v>
      </c>
    </row>
    <row r="17" spans="1:40" x14ac:dyDescent="0.3">
      <c r="A17" s="31" t="s">
        <v>53</v>
      </c>
      <c r="B17" s="6">
        <v>101.6</v>
      </c>
      <c r="C17" s="5">
        <v>159216</v>
      </c>
      <c r="D17" s="5">
        <v>235052.06</v>
      </c>
      <c r="E17" s="6">
        <v>82</v>
      </c>
      <c r="F17" s="6">
        <v>2.8984704970695692</v>
      </c>
      <c r="G17" s="17">
        <v>800</v>
      </c>
      <c r="H17" s="6">
        <v>6.1449999999999996</v>
      </c>
      <c r="I17" s="17">
        <v>34064</v>
      </c>
      <c r="J17" s="9">
        <v>80.400000000000006</v>
      </c>
      <c r="K17" s="9">
        <v>13.4</v>
      </c>
      <c r="L17" s="9">
        <v>2.4</v>
      </c>
      <c r="M17" s="9">
        <v>3.8</v>
      </c>
      <c r="N17" s="9">
        <v>2.4</v>
      </c>
      <c r="O17" s="9">
        <v>374.95071849042239</v>
      </c>
      <c r="P17" s="11">
        <v>24262</v>
      </c>
      <c r="Q17" s="11">
        <v>215477</v>
      </c>
      <c r="R17" s="9">
        <v>120.9</v>
      </c>
      <c r="S17" s="6">
        <v>117.1</v>
      </c>
      <c r="T17" s="30">
        <v>1011910629.4700899</v>
      </c>
      <c r="U17" s="9">
        <v>104.1</v>
      </c>
      <c r="V17" s="32">
        <v>758961.9</v>
      </c>
      <c r="W17" s="19">
        <v>3167917</v>
      </c>
      <c r="X17" s="19">
        <v>748</v>
      </c>
      <c r="Y17" s="17">
        <v>14373.578947368422</v>
      </c>
      <c r="Z17" s="16">
        <v>237156.45740000001</v>
      </c>
      <c r="AA17" s="7">
        <v>4400</v>
      </c>
      <c r="AB17" s="29">
        <v>200</v>
      </c>
      <c r="AC17" s="7">
        <v>237</v>
      </c>
      <c r="AD17" s="11">
        <v>643</v>
      </c>
      <c r="AE17" s="11">
        <v>49</v>
      </c>
      <c r="AF17" s="11">
        <v>1506</v>
      </c>
      <c r="AG17" s="40">
        <v>10</v>
      </c>
      <c r="AH17" s="40">
        <v>767</v>
      </c>
      <c r="AI17" s="40">
        <v>79.2</v>
      </c>
      <c r="AJ17" s="40">
        <v>41.900000000000006</v>
      </c>
      <c r="AK17" s="40">
        <v>53.62</v>
      </c>
      <c r="AL17" s="40">
        <v>78.796161589442903</v>
      </c>
      <c r="AM17" s="40">
        <v>150.5</v>
      </c>
      <c r="AN17" s="40">
        <v>153385.55751518</v>
      </c>
    </row>
    <row r="18" spans="1:40" x14ac:dyDescent="0.3">
      <c r="A18" s="31" t="s">
        <v>54</v>
      </c>
      <c r="B18" s="6">
        <v>106.1</v>
      </c>
      <c r="C18" s="5">
        <v>114030</v>
      </c>
      <c r="D18" s="5">
        <v>135818.617</v>
      </c>
      <c r="E18" s="6">
        <v>82</v>
      </c>
      <c r="F18" s="6">
        <v>3.9826137007299951</v>
      </c>
      <c r="G18" s="17">
        <v>634</v>
      </c>
      <c r="H18" s="6">
        <v>5.2779999999999996</v>
      </c>
      <c r="I18" s="17">
        <v>34156</v>
      </c>
      <c r="J18" s="9">
        <v>73.099999999999994</v>
      </c>
      <c r="K18" s="9">
        <v>12.2</v>
      </c>
      <c r="L18" s="9">
        <v>2.5</v>
      </c>
      <c r="M18" s="9">
        <v>12.2</v>
      </c>
      <c r="N18" s="9">
        <v>2.5</v>
      </c>
      <c r="O18" s="9">
        <v>311.01301999565493</v>
      </c>
      <c r="P18" s="11">
        <v>31064</v>
      </c>
      <c r="Q18" s="11">
        <v>81359</v>
      </c>
      <c r="R18" s="9">
        <v>83.5</v>
      </c>
      <c r="S18" s="6">
        <v>106.9</v>
      </c>
      <c r="T18" s="30">
        <v>707759360.87790799</v>
      </c>
      <c r="U18" s="9">
        <v>97</v>
      </c>
      <c r="V18" s="32">
        <v>613725.69999999995</v>
      </c>
      <c r="W18" s="19">
        <v>3107852</v>
      </c>
      <c r="X18" s="19">
        <v>801</v>
      </c>
      <c r="Y18" s="17">
        <v>12619.552631578947</v>
      </c>
      <c r="Z18" s="16">
        <v>46506.939200000001</v>
      </c>
      <c r="AA18" s="7">
        <v>6512</v>
      </c>
      <c r="AB18" s="29">
        <v>155</v>
      </c>
      <c r="AC18" s="7">
        <v>287</v>
      </c>
      <c r="AD18" s="11">
        <v>572</v>
      </c>
      <c r="AE18" s="11">
        <v>33</v>
      </c>
      <c r="AF18" s="11">
        <v>3070</v>
      </c>
      <c r="AG18" s="40">
        <v>13</v>
      </c>
      <c r="AH18" s="40">
        <v>922.40000000000009</v>
      </c>
      <c r="AI18" s="40">
        <v>91.2</v>
      </c>
      <c r="AJ18" s="40">
        <v>55.5</v>
      </c>
      <c r="AK18" s="40">
        <v>60.543999999999997</v>
      </c>
      <c r="AL18" s="40">
        <v>90.423561742039553</v>
      </c>
      <c r="AM18" s="40">
        <v>145.1</v>
      </c>
      <c r="AN18" s="40">
        <v>140844.97133597001</v>
      </c>
    </row>
    <row r="19" spans="1:40" x14ac:dyDescent="0.3">
      <c r="A19" s="31" t="s">
        <v>55</v>
      </c>
      <c r="B19" s="6">
        <v>103.8</v>
      </c>
      <c r="C19" s="5">
        <v>514759</v>
      </c>
      <c r="D19" s="5">
        <v>6757235.7529999996</v>
      </c>
      <c r="E19" s="6">
        <v>85</v>
      </c>
      <c r="F19" s="6">
        <v>1.1567244582391116</v>
      </c>
      <c r="G19" s="17">
        <v>7322</v>
      </c>
      <c r="H19" s="6">
        <v>179.54300000000001</v>
      </c>
      <c r="I19" s="17">
        <v>78051</v>
      </c>
      <c r="J19" s="9">
        <v>66.7</v>
      </c>
      <c r="K19" s="9">
        <v>19.100000000000001</v>
      </c>
      <c r="L19" s="9">
        <v>7.7</v>
      </c>
      <c r="M19" s="9">
        <v>6.5</v>
      </c>
      <c r="N19" s="9">
        <v>7.7</v>
      </c>
      <c r="O19" s="9">
        <v>278.43816367439115</v>
      </c>
      <c r="P19" s="11">
        <v>601810</v>
      </c>
      <c r="Q19" s="11">
        <v>11348045</v>
      </c>
      <c r="R19" s="4">
        <v>0</v>
      </c>
      <c r="S19" s="6">
        <v>118.7</v>
      </c>
      <c r="T19" s="30">
        <v>26233457545.02739</v>
      </c>
      <c r="U19" s="9">
        <v>100.6</v>
      </c>
      <c r="V19" s="32">
        <v>14590026.699999999</v>
      </c>
      <c r="W19" s="19">
        <v>87410960</v>
      </c>
      <c r="X19" s="19">
        <v>559</v>
      </c>
      <c r="Y19" s="17">
        <v>123890</v>
      </c>
      <c r="Z19" s="16">
        <v>1358949.5152999999</v>
      </c>
      <c r="AA19" s="7">
        <v>12054</v>
      </c>
      <c r="AB19" s="29">
        <v>808</v>
      </c>
      <c r="AC19" s="7">
        <v>538</v>
      </c>
      <c r="AD19" s="11">
        <v>4654</v>
      </c>
      <c r="AE19" s="11">
        <v>532</v>
      </c>
      <c r="AF19" s="11">
        <v>1256</v>
      </c>
      <c r="AG19" s="40">
        <v>9</v>
      </c>
      <c r="AH19" s="40">
        <v>693.6</v>
      </c>
      <c r="AI19" s="40">
        <v>57.7</v>
      </c>
      <c r="AJ19" s="40">
        <v>75.3</v>
      </c>
      <c r="AK19" s="40">
        <v>391.05599999999998</v>
      </c>
      <c r="AL19" s="40">
        <v>51.912247677558263</v>
      </c>
      <c r="AM19" s="40">
        <v>1201.2</v>
      </c>
      <c r="AN19" s="40">
        <v>4228414.0910978001</v>
      </c>
    </row>
    <row r="20" spans="1:40" x14ac:dyDescent="0.3">
      <c r="A20" s="31" t="s">
        <v>56</v>
      </c>
      <c r="B20" s="6">
        <v>95.7</v>
      </c>
      <c r="C20" s="5">
        <v>197024</v>
      </c>
      <c r="D20" s="5">
        <v>103608.738</v>
      </c>
      <c r="E20" s="6">
        <v>76.099999999999994</v>
      </c>
      <c r="F20" s="6">
        <v>5.6908249652254383</v>
      </c>
      <c r="G20" s="17">
        <v>259</v>
      </c>
      <c r="H20" s="6">
        <v>1.786</v>
      </c>
      <c r="I20" s="17">
        <v>43443</v>
      </c>
      <c r="J20" s="9">
        <v>81.900000000000006</v>
      </c>
      <c r="K20" s="9">
        <v>12.8</v>
      </c>
      <c r="L20" s="9">
        <v>1.5</v>
      </c>
      <c r="M20" s="9">
        <v>3.8</v>
      </c>
      <c r="N20" s="9">
        <v>1.5</v>
      </c>
      <c r="O20" s="9">
        <v>457.29360740356128</v>
      </c>
      <c r="P20" s="11">
        <v>16342</v>
      </c>
      <c r="Q20" s="11">
        <v>35405</v>
      </c>
      <c r="R20" s="9">
        <v>100.9</v>
      </c>
      <c r="S20" s="6">
        <v>100.2</v>
      </c>
      <c r="T20" s="30">
        <v>419925971.14962089</v>
      </c>
      <c r="U20" s="9">
        <v>91</v>
      </c>
      <c r="V20" s="32">
        <v>333318.09999999998</v>
      </c>
      <c r="W20" s="19">
        <v>1400019</v>
      </c>
      <c r="X20" s="19">
        <v>594</v>
      </c>
      <c r="Y20" s="17">
        <v>4539</v>
      </c>
      <c r="Z20" s="16">
        <v>3824.7946000000002</v>
      </c>
      <c r="AA20" s="7">
        <v>7537</v>
      </c>
      <c r="AB20" s="29">
        <v>136</v>
      </c>
      <c r="AC20" s="7">
        <v>375</v>
      </c>
      <c r="AD20" s="11">
        <v>416</v>
      </c>
      <c r="AE20" s="11">
        <v>32</v>
      </c>
      <c r="AF20" s="11">
        <v>1311</v>
      </c>
      <c r="AG20" s="40">
        <v>13</v>
      </c>
      <c r="AH20" s="40">
        <v>1505.9</v>
      </c>
      <c r="AI20" s="40">
        <v>84.4</v>
      </c>
      <c r="AJ20" s="40">
        <v>59.900000000000006</v>
      </c>
      <c r="AK20" s="40">
        <v>28.984000000000002</v>
      </c>
      <c r="AL20" s="40">
        <v>104.37162405473532</v>
      </c>
      <c r="AM20" s="40">
        <v>71.900000000000006</v>
      </c>
      <c r="AN20" s="40">
        <v>87564.536253869999</v>
      </c>
    </row>
    <row r="21" spans="1:40" x14ac:dyDescent="0.3">
      <c r="A21" s="31" t="s">
        <v>57</v>
      </c>
      <c r="B21" s="6">
        <v>98.5</v>
      </c>
      <c r="C21" s="5">
        <v>177728</v>
      </c>
      <c r="D21" s="5">
        <v>128590.011</v>
      </c>
      <c r="E21" s="6">
        <v>74.2</v>
      </c>
      <c r="F21" s="6">
        <v>4.9510317036204254</v>
      </c>
      <c r="G21" s="17">
        <v>359</v>
      </c>
      <c r="H21" s="6">
        <v>1.9850000000000001</v>
      </c>
      <c r="I21" s="17">
        <v>39531</v>
      </c>
      <c r="J21" s="9">
        <v>70.400000000000006</v>
      </c>
      <c r="K21" s="9">
        <v>13.4</v>
      </c>
      <c r="L21" s="9">
        <v>3.5</v>
      </c>
      <c r="M21" s="9">
        <v>12.7</v>
      </c>
      <c r="N21" s="9">
        <v>3.5</v>
      </c>
      <c r="O21" s="9">
        <v>346.9282968596051</v>
      </c>
      <c r="P21" s="11">
        <v>12977</v>
      </c>
      <c r="Q21" s="11">
        <v>51572</v>
      </c>
      <c r="R21" s="9">
        <v>99.6</v>
      </c>
      <c r="S21" s="6">
        <v>100.5</v>
      </c>
      <c r="T21" s="30">
        <v>862965779.23581254</v>
      </c>
      <c r="U21" s="9">
        <v>99.9</v>
      </c>
      <c r="V21" s="32">
        <v>430207.5</v>
      </c>
      <c r="W21" s="19">
        <v>4725914</v>
      </c>
      <c r="X21" s="19">
        <v>300</v>
      </c>
      <c r="Y21" s="17">
        <v>3243.3157894736842</v>
      </c>
      <c r="Z21" s="16">
        <v>34506.841899999999</v>
      </c>
      <c r="AA21" s="7">
        <v>6349</v>
      </c>
      <c r="AB21" s="29">
        <v>102</v>
      </c>
      <c r="AC21" s="7">
        <v>279</v>
      </c>
      <c r="AD21" s="11">
        <v>501</v>
      </c>
      <c r="AE21" s="11">
        <v>43</v>
      </c>
      <c r="AF21" s="11">
        <v>446</v>
      </c>
      <c r="AG21" s="40">
        <v>22</v>
      </c>
      <c r="AH21" s="40">
        <v>1149.3</v>
      </c>
      <c r="AI21" s="40">
        <v>102.7</v>
      </c>
      <c r="AJ21" s="40">
        <v>53.7</v>
      </c>
      <c r="AK21" s="40">
        <v>43.405999999999999</v>
      </c>
      <c r="AL21" s="40">
        <v>105.50802139037434</v>
      </c>
      <c r="AM21" s="40">
        <v>101.9</v>
      </c>
      <c r="AN21" s="40">
        <v>131170.35835336</v>
      </c>
    </row>
    <row r="22" spans="1:40" x14ac:dyDescent="0.3">
      <c r="A22" s="31" t="s">
        <v>58</v>
      </c>
      <c r="B22" s="6">
        <v>98.7</v>
      </c>
      <c r="C22" s="5">
        <v>205564</v>
      </c>
      <c r="D22" s="5">
        <v>205950.758</v>
      </c>
      <c r="E22" s="6">
        <v>75.900000000000006</v>
      </c>
      <c r="F22" s="6">
        <v>5.4288576104260091</v>
      </c>
      <c r="G22" s="17">
        <v>489</v>
      </c>
      <c r="H22" s="6">
        <v>2.7429999999999999</v>
      </c>
      <c r="I22" s="17">
        <v>43146</v>
      </c>
      <c r="J22" s="9">
        <v>73.2</v>
      </c>
      <c r="K22" s="9">
        <v>12.6</v>
      </c>
      <c r="L22" s="9">
        <v>0.7</v>
      </c>
      <c r="M22" s="9">
        <v>13.5</v>
      </c>
      <c r="N22" s="9">
        <v>0.7</v>
      </c>
      <c r="O22" s="9">
        <v>337.58786941222678</v>
      </c>
      <c r="P22" s="11">
        <v>18275</v>
      </c>
      <c r="Q22" s="11">
        <v>60634</v>
      </c>
      <c r="R22" s="9">
        <v>93.4</v>
      </c>
      <c r="S22" s="6">
        <v>95.9</v>
      </c>
      <c r="T22" s="30">
        <v>1092871981.9854169</v>
      </c>
      <c r="U22" s="9">
        <v>102.5</v>
      </c>
      <c r="V22" s="33">
        <v>641535</v>
      </c>
      <c r="W22" s="19">
        <v>4133256</v>
      </c>
      <c r="X22" s="19">
        <v>461</v>
      </c>
      <c r="Y22" s="17">
        <v>7619</v>
      </c>
      <c r="Z22" s="16">
        <v>165274.67859999998</v>
      </c>
      <c r="AA22" s="7">
        <v>7313</v>
      </c>
      <c r="AB22" s="29">
        <v>175</v>
      </c>
      <c r="AC22" s="7">
        <v>256</v>
      </c>
      <c r="AD22" s="11">
        <v>801</v>
      </c>
      <c r="AE22" s="11">
        <v>58</v>
      </c>
      <c r="AF22" s="11">
        <v>1201</v>
      </c>
      <c r="AG22" s="40">
        <v>17</v>
      </c>
      <c r="AH22" s="40">
        <v>1134.2</v>
      </c>
      <c r="AI22" s="40">
        <v>90.800000000000011</v>
      </c>
      <c r="AJ22" s="40">
        <v>61.900000000000006</v>
      </c>
      <c r="AK22" s="40">
        <v>55.378999999999998</v>
      </c>
      <c r="AL22" s="40">
        <v>99.658082743975967</v>
      </c>
      <c r="AM22" s="40">
        <v>133.9</v>
      </c>
      <c r="AN22" s="40">
        <v>151589.14011738001</v>
      </c>
    </row>
    <row r="23" spans="1:40" x14ac:dyDescent="0.3">
      <c r="A23" s="34" t="s">
        <v>59</v>
      </c>
      <c r="B23" s="6">
        <v>94.4</v>
      </c>
      <c r="C23" s="5">
        <v>2063216</v>
      </c>
      <c r="D23" s="5">
        <v>86250.680999999997</v>
      </c>
      <c r="E23" s="6">
        <v>81.3</v>
      </c>
      <c r="F23" s="6">
        <v>6.1583967477690891</v>
      </c>
      <c r="G23" s="17">
        <v>23</v>
      </c>
      <c r="H23" s="6">
        <v>0</v>
      </c>
      <c r="I23" s="17">
        <v>42804</v>
      </c>
      <c r="J23" s="9">
        <v>33.4</v>
      </c>
      <c r="K23" s="9">
        <v>11.3</v>
      </c>
      <c r="L23" s="9">
        <v>1.5</v>
      </c>
      <c r="M23" s="9">
        <v>53.8</v>
      </c>
      <c r="N23" s="9">
        <v>1.5</v>
      </c>
      <c r="O23" s="9">
        <v>229.75085259568019</v>
      </c>
      <c r="P23" s="11">
        <v>1020</v>
      </c>
      <c r="Q23" s="11">
        <v>9514</v>
      </c>
      <c r="R23" s="9">
        <v>93.5</v>
      </c>
      <c r="S23" s="6">
        <v>93.7</v>
      </c>
      <c r="T23" s="30">
        <v>444391572.10360181</v>
      </c>
      <c r="U23" s="9">
        <v>112.3</v>
      </c>
      <c r="V23" s="32">
        <v>31749.5</v>
      </c>
      <c r="W23" s="19">
        <v>1234685</v>
      </c>
      <c r="X23" s="19">
        <v>519</v>
      </c>
      <c r="Y23" s="17">
        <v>193</v>
      </c>
      <c r="Z23" s="16">
        <v>3819.4398999999999</v>
      </c>
      <c r="AA23" s="7">
        <v>8902</v>
      </c>
      <c r="AB23" s="29">
        <v>6</v>
      </c>
      <c r="AC23" s="21">
        <v>0</v>
      </c>
      <c r="AD23" s="11">
        <v>92</v>
      </c>
      <c r="AE23" s="11">
        <v>2</v>
      </c>
      <c r="AF23" s="11">
        <v>438</v>
      </c>
      <c r="AG23" s="40">
        <v>21</v>
      </c>
      <c r="AH23" s="40">
        <v>1297.7</v>
      </c>
      <c r="AI23" s="40">
        <v>65.400000000000006</v>
      </c>
      <c r="AJ23" s="40">
        <v>52.800000000000004</v>
      </c>
      <c r="AK23" s="40">
        <v>3.1779999999999999</v>
      </c>
      <c r="AL23" s="40">
        <v>106.00400266844562</v>
      </c>
      <c r="AM23" s="40">
        <v>6.6</v>
      </c>
      <c r="AN23" s="40">
        <v>29235.173785619998</v>
      </c>
    </row>
    <row r="24" spans="1:40" x14ac:dyDescent="0.3">
      <c r="A24" s="31" t="s">
        <v>60</v>
      </c>
      <c r="B24" s="6">
        <v>86.7</v>
      </c>
      <c r="C24" s="5">
        <v>150049</v>
      </c>
      <c r="D24" s="5">
        <v>168814.94200000001</v>
      </c>
      <c r="E24" s="6">
        <v>78.599999999999994</v>
      </c>
      <c r="F24" s="6">
        <v>3.1741224403457524</v>
      </c>
      <c r="G24" s="17">
        <v>548</v>
      </c>
      <c r="H24" s="6">
        <v>3.137</v>
      </c>
      <c r="I24" s="17">
        <v>31167</v>
      </c>
      <c r="J24" s="9">
        <v>73</v>
      </c>
      <c r="K24" s="9">
        <v>13.4</v>
      </c>
      <c r="L24" s="9">
        <v>1.4</v>
      </c>
      <c r="M24" s="9">
        <v>12.2</v>
      </c>
      <c r="N24" s="9">
        <v>1.4</v>
      </c>
      <c r="O24" s="9">
        <v>363.4891375787783</v>
      </c>
      <c r="P24" s="11">
        <v>29602</v>
      </c>
      <c r="Q24" s="11">
        <v>622017</v>
      </c>
      <c r="R24" s="9">
        <v>97.1</v>
      </c>
      <c r="S24" s="6">
        <v>106.2</v>
      </c>
      <c r="T24" s="30">
        <v>1002395525.2826469</v>
      </c>
      <c r="U24" s="9">
        <v>95.2</v>
      </c>
      <c r="V24" s="32">
        <v>512725.2</v>
      </c>
      <c r="W24" s="19">
        <v>3591332</v>
      </c>
      <c r="X24" s="19">
        <v>663</v>
      </c>
      <c r="Y24" s="17">
        <v>9879</v>
      </c>
      <c r="Z24" s="16">
        <v>49051.631000000001</v>
      </c>
      <c r="AA24" s="7">
        <v>6058</v>
      </c>
      <c r="AB24" s="29">
        <v>106</v>
      </c>
      <c r="AC24" s="7">
        <v>264</v>
      </c>
      <c r="AD24" s="11">
        <v>717</v>
      </c>
      <c r="AE24" s="11">
        <v>62</v>
      </c>
      <c r="AF24" s="11">
        <v>1196</v>
      </c>
      <c r="AG24" s="40">
        <v>17</v>
      </c>
      <c r="AH24" s="40">
        <v>1066.5</v>
      </c>
      <c r="AI24" s="40">
        <v>75.8</v>
      </c>
      <c r="AJ24" s="40">
        <v>36.4</v>
      </c>
      <c r="AK24" s="40">
        <v>61.005000000000003</v>
      </c>
      <c r="AL24" s="40">
        <v>91.830744219653184</v>
      </c>
      <c r="AM24" s="40">
        <v>145.4</v>
      </c>
      <c r="AN24" s="40">
        <v>163954.83824329998</v>
      </c>
    </row>
    <row r="25" spans="1:40" x14ac:dyDescent="0.3">
      <c r="A25" s="31" t="s">
        <v>61</v>
      </c>
      <c r="B25" s="6">
        <v>142.69999999999999</v>
      </c>
      <c r="C25" s="5">
        <v>189689</v>
      </c>
      <c r="D25" s="5">
        <v>195973.19500000001</v>
      </c>
      <c r="E25" s="6">
        <v>80.5</v>
      </c>
      <c r="F25" s="6">
        <v>3.2038733582075221</v>
      </c>
      <c r="G25" s="17">
        <v>560</v>
      </c>
      <c r="H25" s="6">
        <v>3.2970000000000002</v>
      </c>
      <c r="I25" s="17">
        <v>36496</v>
      </c>
      <c r="J25" s="9">
        <v>83.8</v>
      </c>
      <c r="K25" s="9">
        <v>14.8</v>
      </c>
      <c r="L25" s="9">
        <v>0.4</v>
      </c>
      <c r="M25" s="9">
        <v>1</v>
      </c>
      <c r="N25" s="9">
        <v>0.4</v>
      </c>
      <c r="O25" s="9">
        <v>369.57812738777113</v>
      </c>
      <c r="P25" s="11">
        <v>32962</v>
      </c>
      <c r="Q25" s="11">
        <v>944071</v>
      </c>
      <c r="R25" s="9">
        <v>95.9</v>
      </c>
      <c r="S25" s="6">
        <v>96.8</v>
      </c>
      <c r="T25" s="30">
        <v>670529985.65187061</v>
      </c>
      <c r="U25" s="9">
        <v>95.5</v>
      </c>
      <c r="V25" s="32">
        <v>538978.1</v>
      </c>
      <c r="W25" s="19">
        <v>2740064</v>
      </c>
      <c r="X25" s="19">
        <v>1178</v>
      </c>
      <c r="Y25" s="17">
        <v>14520</v>
      </c>
      <c r="Z25" s="16">
        <v>7302.6332999999995</v>
      </c>
      <c r="AA25" s="7">
        <v>4206</v>
      </c>
      <c r="AB25" s="29">
        <v>117</v>
      </c>
      <c r="AC25" s="7">
        <v>211</v>
      </c>
      <c r="AD25" s="11">
        <v>474</v>
      </c>
      <c r="AE25" s="11">
        <v>51</v>
      </c>
      <c r="AF25" s="11">
        <v>2318</v>
      </c>
      <c r="AG25" s="40">
        <v>12</v>
      </c>
      <c r="AH25" s="40">
        <v>781.1</v>
      </c>
      <c r="AI25" s="40">
        <v>79.600000000000009</v>
      </c>
      <c r="AJ25" s="40">
        <v>50.1</v>
      </c>
      <c r="AK25" s="40">
        <v>48.218000000000004</v>
      </c>
      <c r="AL25" s="40">
        <v>81.54023066256299</v>
      </c>
      <c r="AM25" s="40">
        <v>127.7</v>
      </c>
      <c r="AN25" s="40">
        <v>132838.93871613001</v>
      </c>
    </row>
    <row r="26" spans="1:40" x14ac:dyDescent="0.3">
      <c r="A26" s="31" t="s">
        <v>62</v>
      </c>
      <c r="B26" s="6">
        <v>113.2</v>
      </c>
      <c r="C26" s="5">
        <v>337765</v>
      </c>
      <c r="D26" s="5">
        <v>685583.71200000006</v>
      </c>
      <c r="E26" s="6">
        <v>82.6</v>
      </c>
      <c r="F26" s="6">
        <v>2.8222612303655579</v>
      </c>
      <c r="G26" s="17">
        <v>1123</v>
      </c>
      <c r="H26" s="6">
        <v>0.81699999999999995</v>
      </c>
      <c r="I26" s="17">
        <v>38583</v>
      </c>
      <c r="J26" s="9">
        <v>83.9</v>
      </c>
      <c r="K26" s="9">
        <v>14.6</v>
      </c>
      <c r="L26" s="9">
        <v>7</v>
      </c>
      <c r="M26" s="9">
        <v>-5.5</v>
      </c>
      <c r="N26" s="9">
        <v>7</v>
      </c>
      <c r="O26" s="9">
        <v>296.56020693971101</v>
      </c>
      <c r="P26" s="11">
        <v>34466</v>
      </c>
      <c r="Q26" s="11">
        <v>460864</v>
      </c>
      <c r="R26" s="9">
        <v>108.5</v>
      </c>
      <c r="S26" s="6">
        <v>107.9</v>
      </c>
      <c r="T26" s="30">
        <v>1605157656.2202442</v>
      </c>
      <c r="U26" s="9">
        <v>100.1</v>
      </c>
      <c r="V26" s="32">
        <v>1088872.2</v>
      </c>
      <c r="W26" s="19">
        <v>10120957</v>
      </c>
      <c r="X26" s="19">
        <v>2063</v>
      </c>
      <c r="Y26" s="17">
        <v>60884.315789473687</v>
      </c>
      <c r="Z26" s="16">
        <v>81918.594400000002</v>
      </c>
      <c r="AA26" s="7">
        <v>3229</v>
      </c>
      <c r="AB26" s="29">
        <v>121</v>
      </c>
      <c r="AC26" s="7">
        <v>126</v>
      </c>
      <c r="AD26" s="11">
        <v>882</v>
      </c>
      <c r="AE26" s="11">
        <v>102</v>
      </c>
      <c r="AF26" s="11">
        <v>848</v>
      </c>
      <c r="AG26" s="40">
        <v>8</v>
      </c>
      <c r="AH26" s="40">
        <v>693.40000000000009</v>
      </c>
      <c r="AI26" s="40">
        <v>55.1</v>
      </c>
      <c r="AJ26" s="40">
        <v>36.4</v>
      </c>
      <c r="AK26" s="40">
        <v>86.159000000000006</v>
      </c>
      <c r="AL26" s="40">
        <v>88.239691935847276</v>
      </c>
      <c r="AM26" s="40">
        <v>203.2</v>
      </c>
      <c r="AN26" s="40">
        <v>306088.00457310997</v>
      </c>
    </row>
    <row r="27" spans="1:40" x14ac:dyDescent="0.3">
      <c r="A27" s="31" t="s">
        <v>63</v>
      </c>
      <c r="B27" s="6">
        <v>91</v>
      </c>
      <c r="C27" s="5">
        <v>405950</v>
      </c>
      <c r="D27" s="5">
        <v>266939.97600000002</v>
      </c>
      <c r="E27" s="6">
        <v>79.599999999999994</v>
      </c>
      <c r="F27" s="6">
        <v>3.5047227857895966</v>
      </c>
      <c r="G27" s="17">
        <v>353</v>
      </c>
      <c r="H27" s="6">
        <v>1.0649999999999999</v>
      </c>
      <c r="I27" s="17">
        <v>51217</v>
      </c>
      <c r="J27" s="9">
        <v>67.599999999999994</v>
      </c>
      <c r="K27" s="9">
        <v>13.8</v>
      </c>
      <c r="L27" s="9">
        <v>4.9000000000000004</v>
      </c>
      <c r="M27" s="9">
        <v>13.7</v>
      </c>
      <c r="N27" s="9">
        <v>4.9000000000000004</v>
      </c>
      <c r="O27" s="9">
        <v>425.0759401497171</v>
      </c>
      <c r="P27" s="11">
        <v>13623</v>
      </c>
      <c r="Q27" s="11">
        <v>297051</v>
      </c>
      <c r="R27" s="9">
        <v>103.6</v>
      </c>
      <c r="S27" s="6">
        <v>97.5</v>
      </c>
      <c r="T27" s="30">
        <v>934515906.90712547</v>
      </c>
      <c r="U27" s="9">
        <v>92.6</v>
      </c>
      <c r="V27" s="32">
        <v>478478.3</v>
      </c>
      <c r="W27" s="19">
        <v>3570306</v>
      </c>
      <c r="X27" s="19">
        <v>92</v>
      </c>
      <c r="Y27" s="17">
        <v>664</v>
      </c>
      <c r="Z27" s="16">
        <v>54153.135000000002</v>
      </c>
      <c r="AA27" s="7">
        <v>7443</v>
      </c>
      <c r="AB27" s="29">
        <v>112</v>
      </c>
      <c r="AC27" s="7">
        <v>214</v>
      </c>
      <c r="AD27" s="11">
        <v>411</v>
      </c>
      <c r="AE27" s="11">
        <v>45</v>
      </c>
      <c r="AF27" s="11">
        <v>540</v>
      </c>
      <c r="AG27" s="40">
        <v>17</v>
      </c>
      <c r="AH27" s="40">
        <v>922.7</v>
      </c>
      <c r="AI27" s="40">
        <v>102.80000000000001</v>
      </c>
      <c r="AJ27" s="40">
        <v>56.6</v>
      </c>
      <c r="AK27" s="40">
        <v>36.537999999999997</v>
      </c>
      <c r="AL27" s="40">
        <v>90.15273014384762</v>
      </c>
      <c r="AM27" s="40">
        <v>82.7</v>
      </c>
      <c r="AN27" s="40">
        <v>151464.59601895002</v>
      </c>
    </row>
    <row r="28" spans="1:40" x14ac:dyDescent="0.3">
      <c r="A28" s="31" t="s">
        <v>64</v>
      </c>
      <c r="B28" s="6">
        <v>116.9</v>
      </c>
      <c r="C28" s="5">
        <v>131681</v>
      </c>
      <c r="D28" s="5">
        <v>75543.562000000005</v>
      </c>
      <c r="E28" s="6">
        <v>82</v>
      </c>
      <c r="F28" s="6">
        <v>2.5052252339576273</v>
      </c>
      <c r="G28" s="17">
        <v>293</v>
      </c>
      <c r="H28" s="6">
        <v>1.4970000000000001</v>
      </c>
      <c r="I28" s="17">
        <v>32064</v>
      </c>
      <c r="J28" s="9">
        <v>82.4</v>
      </c>
      <c r="K28" s="9">
        <v>12.4</v>
      </c>
      <c r="L28" s="9">
        <v>2.9</v>
      </c>
      <c r="M28" s="9">
        <v>2.2999999999999998</v>
      </c>
      <c r="N28" s="9">
        <v>2.9</v>
      </c>
      <c r="O28" s="9">
        <v>351.63890964516395</v>
      </c>
      <c r="P28" s="11">
        <v>10738</v>
      </c>
      <c r="Q28" s="11">
        <v>65900</v>
      </c>
      <c r="R28" s="9">
        <v>90.7</v>
      </c>
      <c r="S28" s="6">
        <v>102.7</v>
      </c>
      <c r="T28" s="30">
        <v>353625899.44413602</v>
      </c>
      <c r="U28" s="9">
        <v>98.6</v>
      </c>
      <c r="V28" s="32">
        <v>271009.7</v>
      </c>
      <c r="W28" s="19">
        <v>1545077</v>
      </c>
      <c r="X28" s="19">
        <v>657</v>
      </c>
      <c r="Y28" s="17">
        <v>4106</v>
      </c>
      <c r="Z28" s="16">
        <v>14190.6268</v>
      </c>
      <c r="AA28" s="7">
        <v>7900</v>
      </c>
      <c r="AB28" s="29">
        <v>64</v>
      </c>
      <c r="AC28" s="7">
        <v>115</v>
      </c>
      <c r="AD28" s="11">
        <v>337</v>
      </c>
      <c r="AE28" s="11">
        <v>35</v>
      </c>
      <c r="AF28" s="11">
        <v>2200</v>
      </c>
      <c r="AG28" s="40">
        <v>15</v>
      </c>
      <c r="AH28" s="40">
        <v>795.30000000000007</v>
      </c>
      <c r="AI28" s="40">
        <v>85.7</v>
      </c>
      <c r="AJ28" s="40">
        <v>45.900000000000006</v>
      </c>
      <c r="AK28" s="40">
        <v>27.645</v>
      </c>
      <c r="AL28" s="40">
        <v>88.790749959852249</v>
      </c>
      <c r="AM28" s="40">
        <v>67.599999999999994</v>
      </c>
      <c r="AN28" s="40">
        <v>77528.09065487</v>
      </c>
    </row>
    <row r="29" spans="1:40" x14ac:dyDescent="0.3">
      <c r="A29" s="31" t="s">
        <v>65</v>
      </c>
      <c r="B29" s="6">
        <v>100.5</v>
      </c>
      <c r="C29" s="5">
        <v>81445</v>
      </c>
      <c r="D29" s="5">
        <v>47601.96</v>
      </c>
      <c r="E29" s="6">
        <v>80.7</v>
      </c>
      <c r="F29" s="6">
        <v>3.0366826282736885</v>
      </c>
      <c r="G29" s="17">
        <v>311</v>
      </c>
      <c r="H29" s="6">
        <v>1.9530000000000001</v>
      </c>
      <c r="I29" s="17">
        <v>32386</v>
      </c>
      <c r="J29" s="9">
        <v>81.2</v>
      </c>
      <c r="K29" s="9">
        <v>11.3</v>
      </c>
      <c r="L29" s="9">
        <v>1.2</v>
      </c>
      <c r="M29" s="9">
        <v>6.3</v>
      </c>
      <c r="N29" s="9">
        <v>1.2</v>
      </c>
      <c r="O29" s="9">
        <v>401.76925975699777</v>
      </c>
      <c r="P29" s="11">
        <v>11005</v>
      </c>
      <c r="Q29" s="11">
        <v>29718</v>
      </c>
      <c r="R29" s="9">
        <v>95.4</v>
      </c>
      <c r="S29" s="6">
        <v>118.4</v>
      </c>
      <c r="T29" s="30">
        <v>237871227.89377847</v>
      </c>
      <c r="U29" s="9">
        <v>99.1</v>
      </c>
      <c r="V29" s="33">
        <v>287168</v>
      </c>
      <c r="W29" s="19">
        <v>952164</v>
      </c>
      <c r="X29" s="19">
        <v>648</v>
      </c>
      <c r="Y29" s="17">
        <v>4664</v>
      </c>
      <c r="Z29" s="16">
        <v>2950.152</v>
      </c>
      <c r="AA29" s="7">
        <v>10512</v>
      </c>
      <c r="AB29" s="29">
        <v>68</v>
      </c>
      <c r="AC29" s="7">
        <v>204</v>
      </c>
      <c r="AD29" s="11">
        <v>348</v>
      </c>
      <c r="AE29" s="11">
        <v>19</v>
      </c>
      <c r="AF29" s="11">
        <v>3211</v>
      </c>
      <c r="AG29" s="40">
        <v>22</v>
      </c>
      <c r="AH29" s="40">
        <v>755.1</v>
      </c>
      <c r="AI29" s="40">
        <v>93.2</v>
      </c>
      <c r="AJ29" s="40">
        <v>34.5</v>
      </c>
      <c r="AK29" s="40">
        <v>25.722999999999999</v>
      </c>
      <c r="AL29" s="40">
        <v>83.29447574638948</v>
      </c>
      <c r="AM29" s="40">
        <v>69.099999999999994</v>
      </c>
      <c r="AN29" s="40">
        <v>70216.515100490011</v>
      </c>
    </row>
    <row r="30" spans="1:40" x14ac:dyDescent="0.3">
      <c r="A30" s="31" t="s">
        <v>66</v>
      </c>
      <c r="B30" s="6">
        <v>103.4</v>
      </c>
      <c r="C30" s="5">
        <v>213541</v>
      </c>
      <c r="D30" s="5">
        <v>1195595.0589999999</v>
      </c>
      <c r="E30" s="6">
        <v>85.2</v>
      </c>
      <c r="F30" s="6">
        <v>1.6967454695692927</v>
      </c>
      <c r="G30" s="17">
        <v>3261</v>
      </c>
      <c r="H30" s="6">
        <v>63.640999999999998</v>
      </c>
      <c r="I30" s="17">
        <v>59969</v>
      </c>
      <c r="J30" s="9">
        <v>83.2</v>
      </c>
      <c r="K30" s="9">
        <v>18.3</v>
      </c>
      <c r="L30" s="9">
        <v>2</v>
      </c>
      <c r="M30" s="9">
        <v>-3.5</v>
      </c>
      <c r="N30" s="9">
        <v>2</v>
      </c>
      <c r="O30" s="9">
        <v>289.04457012560198</v>
      </c>
      <c r="P30" s="11">
        <v>209344</v>
      </c>
      <c r="Q30" s="11">
        <v>2888158</v>
      </c>
      <c r="R30" s="9">
        <v>85.6</v>
      </c>
      <c r="S30" s="6">
        <v>111.5</v>
      </c>
      <c r="T30" s="30">
        <v>9112532460.0863724</v>
      </c>
      <c r="U30" s="9">
        <v>97.6</v>
      </c>
      <c r="V30" s="32">
        <v>5189287.3</v>
      </c>
      <c r="W30" s="19">
        <v>25934251</v>
      </c>
      <c r="X30" s="19">
        <v>622</v>
      </c>
      <c r="Y30" s="17">
        <v>79138.263157894733</v>
      </c>
      <c r="Z30" s="16">
        <v>499661.69900000002</v>
      </c>
      <c r="AA30" s="7">
        <v>9919</v>
      </c>
      <c r="AB30" s="29">
        <v>702</v>
      </c>
      <c r="AC30" s="7">
        <v>822</v>
      </c>
      <c r="AD30" s="11">
        <v>2045</v>
      </c>
      <c r="AE30" s="11">
        <v>421</v>
      </c>
      <c r="AF30" s="11">
        <v>4987</v>
      </c>
      <c r="AG30" s="40">
        <v>10</v>
      </c>
      <c r="AH30" s="40">
        <v>1124</v>
      </c>
      <c r="AI30" s="40">
        <v>84.300000000000011</v>
      </c>
      <c r="AJ30" s="40">
        <v>91.4</v>
      </c>
      <c r="AK30" s="40">
        <v>266.57900000000001</v>
      </c>
      <c r="AL30" s="40">
        <v>87.821904495214881</v>
      </c>
      <c r="AM30" s="40">
        <v>595.9</v>
      </c>
      <c r="AN30" s="40">
        <v>1149928.65994424</v>
      </c>
    </row>
    <row r="31" spans="1:40" x14ac:dyDescent="0.3">
      <c r="A31" s="31" t="s">
        <v>67</v>
      </c>
      <c r="B31" s="6">
        <v>122.4</v>
      </c>
      <c r="C31" s="5">
        <v>123466</v>
      </c>
      <c r="D31" s="5">
        <v>61644.9</v>
      </c>
      <c r="E31" s="6">
        <v>65.5</v>
      </c>
      <c r="F31" s="6">
        <v>4.1555570287028463</v>
      </c>
      <c r="G31" s="17">
        <v>207</v>
      </c>
      <c r="H31" s="6">
        <v>3.181</v>
      </c>
      <c r="I31" s="17">
        <v>36734</v>
      </c>
      <c r="J31" s="9">
        <v>86.1</v>
      </c>
      <c r="K31" s="9">
        <v>9.9</v>
      </c>
      <c r="L31" s="9">
        <v>3.7</v>
      </c>
      <c r="M31" s="9">
        <v>0.3</v>
      </c>
      <c r="N31" s="9">
        <v>3.7</v>
      </c>
      <c r="O31" s="9">
        <v>414.19442219296792</v>
      </c>
      <c r="P31" s="11">
        <v>5934</v>
      </c>
      <c r="Q31" s="11">
        <v>7640</v>
      </c>
      <c r="R31" s="9">
        <v>81.900000000000006</v>
      </c>
      <c r="S31" s="6">
        <v>107.2</v>
      </c>
      <c r="T31" s="30">
        <v>190407882.95727354</v>
      </c>
      <c r="U31" s="9">
        <v>104.2</v>
      </c>
      <c r="V31" s="32">
        <v>257284.6</v>
      </c>
      <c r="W31" s="19">
        <v>610339</v>
      </c>
      <c r="X31" s="19">
        <v>1130</v>
      </c>
      <c r="Y31" s="17">
        <v>7442</v>
      </c>
      <c r="Z31" s="16">
        <v>5886.6318000000001</v>
      </c>
      <c r="AA31" s="7">
        <v>4936</v>
      </c>
      <c r="AB31" s="29">
        <v>28</v>
      </c>
      <c r="AC31" s="7">
        <v>181</v>
      </c>
      <c r="AD31" s="11">
        <v>220</v>
      </c>
      <c r="AE31" s="11">
        <v>12</v>
      </c>
      <c r="AF31" s="11">
        <v>287</v>
      </c>
      <c r="AG31" s="40">
        <v>9</v>
      </c>
      <c r="AH31" s="40">
        <v>620.80000000000007</v>
      </c>
      <c r="AI31" s="40">
        <v>63.6</v>
      </c>
      <c r="AJ31" s="40">
        <v>36.800000000000004</v>
      </c>
      <c r="AK31" s="40">
        <v>22.05</v>
      </c>
      <c r="AL31" s="40">
        <v>67.121244406562965</v>
      </c>
      <c r="AM31" s="40">
        <v>61.7</v>
      </c>
      <c r="AN31" s="40">
        <v>54820.739627199997</v>
      </c>
    </row>
    <row r="32" spans="1:40" x14ac:dyDescent="0.3">
      <c r="A32" s="31" t="s">
        <v>68</v>
      </c>
      <c r="B32" s="6">
        <v>80</v>
      </c>
      <c r="C32" s="5">
        <v>52062</v>
      </c>
      <c r="D32" s="5">
        <v>13829.016</v>
      </c>
      <c r="E32" s="6">
        <v>77.5</v>
      </c>
      <c r="F32" s="6">
        <v>6.9514083729729652</v>
      </c>
      <c r="G32" s="17">
        <v>134</v>
      </c>
      <c r="H32" s="6">
        <v>1.534</v>
      </c>
      <c r="I32" s="17">
        <v>26174</v>
      </c>
      <c r="J32" s="9">
        <v>91.4</v>
      </c>
      <c r="K32" s="9">
        <v>19.2</v>
      </c>
      <c r="L32" s="9">
        <v>2.7</v>
      </c>
      <c r="M32" s="9">
        <v>-13.3</v>
      </c>
      <c r="N32" s="9">
        <v>2.7</v>
      </c>
      <c r="O32" s="9">
        <v>339.27728005397904</v>
      </c>
      <c r="P32" s="11">
        <v>4687</v>
      </c>
      <c r="Q32" s="11">
        <v>2073</v>
      </c>
      <c r="R32" s="9">
        <v>93.4</v>
      </c>
      <c r="S32" s="6">
        <v>102</v>
      </c>
      <c r="T32" s="30">
        <v>139261585.42687172</v>
      </c>
      <c r="U32" s="9">
        <v>108.8</v>
      </c>
      <c r="V32" s="32">
        <v>94565.5</v>
      </c>
      <c r="W32" s="19">
        <v>354812</v>
      </c>
      <c r="X32" s="19">
        <v>535</v>
      </c>
      <c r="Y32" s="17">
        <v>1417</v>
      </c>
      <c r="Z32" s="16">
        <v>1098</v>
      </c>
      <c r="AA32" s="7">
        <v>9245</v>
      </c>
      <c r="AB32" s="29">
        <v>13</v>
      </c>
      <c r="AC32" s="7">
        <v>245</v>
      </c>
      <c r="AD32" s="11">
        <v>144</v>
      </c>
      <c r="AE32" s="11">
        <v>1</v>
      </c>
      <c r="AF32" s="11">
        <v>190</v>
      </c>
      <c r="AG32" s="40">
        <v>8</v>
      </c>
      <c r="AH32" s="40">
        <v>668.2</v>
      </c>
      <c r="AI32" s="40">
        <v>74.8</v>
      </c>
      <c r="AJ32" s="40">
        <v>48.5</v>
      </c>
      <c r="AK32" s="40">
        <v>11.476000000000001</v>
      </c>
      <c r="AL32" s="40">
        <v>65.938864628820966</v>
      </c>
      <c r="AM32" s="40">
        <v>33.799999999999997</v>
      </c>
      <c r="AN32" s="40">
        <v>30557.343128619999</v>
      </c>
    </row>
    <row r="33" spans="1:40" x14ac:dyDescent="0.3">
      <c r="A33" s="31" t="s">
        <v>69</v>
      </c>
      <c r="B33" s="6">
        <v>117</v>
      </c>
      <c r="C33" s="5">
        <v>141814</v>
      </c>
      <c r="D33" s="5">
        <v>271312.69300000003</v>
      </c>
      <c r="E33" s="6">
        <v>80.5</v>
      </c>
      <c r="F33" s="6">
        <v>3.8074467878697216</v>
      </c>
      <c r="G33" s="17">
        <v>950</v>
      </c>
      <c r="H33" s="6">
        <v>6.74</v>
      </c>
      <c r="I33" s="17">
        <v>27509</v>
      </c>
      <c r="J33" s="9">
        <v>83.7</v>
      </c>
      <c r="K33" s="9">
        <v>9.4</v>
      </c>
      <c r="L33" s="9">
        <v>2.5</v>
      </c>
      <c r="M33" s="9">
        <v>4.4000000000000004</v>
      </c>
      <c r="N33" s="9">
        <v>2.5</v>
      </c>
      <c r="O33" s="9">
        <v>234.76891058858897</v>
      </c>
      <c r="P33" s="11">
        <v>31025</v>
      </c>
      <c r="Q33" s="11">
        <v>2784</v>
      </c>
      <c r="R33" s="9">
        <v>71.900000000000006</v>
      </c>
      <c r="S33" s="6">
        <v>98.3</v>
      </c>
      <c r="T33" s="30">
        <v>622247113.33138335</v>
      </c>
      <c r="U33" s="9">
        <v>98</v>
      </c>
      <c r="V33" s="32">
        <v>777842.4</v>
      </c>
      <c r="W33" s="19">
        <v>4359930</v>
      </c>
      <c r="X33" s="19">
        <v>637</v>
      </c>
      <c r="Y33" s="17">
        <v>13248</v>
      </c>
      <c r="Z33" s="16">
        <v>2873.7107000000001</v>
      </c>
      <c r="AA33" s="7">
        <v>5223</v>
      </c>
      <c r="AB33" s="29">
        <v>144</v>
      </c>
      <c r="AC33" s="7">
        <v>228</v>
      </c>
      <c r="AD33" s="11">
        <v>772</v>
      </c>
      <c r="AE33" s="11">
        <v>28</v>
      </c>
      <c r="AF33" s="11">
        <v>944</v>
      </c>
      <c r="AG33" s="40">
        <v>11</v>
      </c>
      <c r="AH33" s="40">
        <v>584.5</v>
      </c>
      <c r="AI33" s="40">
        <v>85.4</v>
      </c>
      <c r="AJ33" s="40">
        <v>46.800000000000004</v>
      </c>
      <c r="AK33" s="40">
        <v>78.311000000000007</v>
      </c>
      <c r="AL33" s="40">
        <v>68.418385622799434</v>
      </c>
      <c r="AM33" s="40">
        <v>229.1</v>
      </c>
      <c r="AN33" s="40">
        <v>322048.37196384004</v>
      </c>
    </row>
    <row r="34" spans="1:40" x14ac:dyDescent="0.3">
      <c r="A34" s="31" t="s">
        <v>70</v>
      </c>
      <c r="B34" s="6">
        <v>102.4</v>
      </c>
      <c r="C34" s="5">
        <v>147718</v>
      </c>
      <c r="D34" s="5">
        <v>860630.65599999996</v>
      </c>
      <c r="E34" s="6">
        <v>79.5</v>
      </c>
      <c r="F34" s="6">
        <v>2.0179233829342609</v>
      </c>
      <c r="G34" s="17">
        <v>2924</v>
      </c>
      <c r="H34" s="6">
        <v>20.81</v>
      </c>
      <c r="I34" s="17">
        <v>54117</v>
      </c>
      <c r="J34" s="9">
        <v>99.1</v>
      </c>
      <c r="K34" s="9">
        <v>12</v>
      </c>
      <c r="L34" s="9">
        <v>1.6</v>
      </c>
      <c r="M34" s="9">
        <v>-12.7</v>
      </c>
      <c r="N34" s="9">
        <v>1.6</v>
      </c>
      <c r="O34" s="9">
        <v>306.94674886104963</v>
      </c>
      <c r="P34" s="11">
        <v>102927</v>
      </c>
      <c r="Q34" s="11">
        <v>936138</v>
      </c>
      <c r="R34" s="9">
        <v>82.3</v>
      </c>
      <c r="S34" s="6">
        <v>106</v>
      </c>
      <c r="T34" s="30">
        <v>3726828235.3120589</v>
      </c>
      <c r="U34" s="9">
        <v>108.1</v>
      </c>
      <c r="V34" s="32">
        <v>4698975.9000000004</v>
      </c>
      <c r="W34" s="19">
        <v>16105257</v>
      </c>
      <c r="X34" s="19">
        <v>1311</v>
      </c>
      <c r="Y34" s="17">
        <v>103644.39473684211</v>
      </c>
      <c r="Z34" s="16">
        <v>33826.856899999999</v>
      </c>
      <c r="AA34" s="7">
        <v>3875</v>
      </c>
      <c r="AB34" s="29">
        <v>473</v>
      </c>
      <c r="AC34" s="7">
        <v>103</v>
      </c>
      <c r="AD34" s="11">
        <v>2681</v>
      </c>
      <c r="AE34" s="11">
        <v>228</v>
      </c>
      <c r="AF34" s="11">
        <v>368</v>
      </c>
      <c r="AG34" s="40">
        <v>11</v>
      </c>
      <c r="AH34" s="40">
        <v>683.7</v>
      </c>
      <c r="AI34" s="40">
        <v>72.7</v>
      </c>
      <c r="AJ34" s="40">
        <v>45.6</v>
      </c>
      <c r="AK34" s="40">
        <v>247.41399999999999</v>
      </c>
      <c r="AL34" s="40">
        <v>65.617134809856339</v>
      </c>
      <c r="AM34" s="40">
        <v>783.6</v>
      </c>
      <c r="AN34" s="40">
        <v>623581.69869445998</v>
      </c>
    </row>
    <row r="35" spans="1:40" x14ac:dyDescent="0.3">
      <c r="A35" s="31" t="s">
        <v>71</v>
      </c>
      <c r="B35" s="6">
        <v>90.1</v>
      </c>
      <c r="C35" s="5">
        <v>92241</v>
      </c>
      <c r="D35" s="5">
        <v>87490.188999999998</v>
      </c>
      <c r="E35" s="6">
        <v>81.7</v>
      </c>
      <c r="F35" s="6">
        <v>4.5821304523419917</v>
      </c>
      <c r="G35" s="17">
        <v>494</v>
      </c>
      <c r="H35" s="6">
        <v>5.6909999999999998</v>
      </c>
      <c r="I35" s="17">
        <v>29728</v>
      </c>
      <c r="J35" s="9">
        <v>81.2</v>
      </c>
      <c r="K35" s="9">
        <v>12.7</v>
      </c>
      <c r="L35" s="9">
        <v>4.4000000000000004</v>
      </c>
      <c r="M35" s="9">
        <v>1.7</v>
      </c>
      <c r="N35" s="9">
        <v>4.4000000000000004</v>
      </c>
      <c r="O35" s="9">
        <v>303.5642398954385</v>
      </c>
      <c r="P35" s="11">
        <v>11987</v>
      </c>
      <c r="Q35" s="11">
        <v>189243</v>
      </c>
      <c r="R35" s="9">
        <v>101</v>
      </c>
      <c r="S35" s="6">
        <v>100.6</v>
      </c>
      <c r="T35" s="30">
        <v>692986508.35106051</v>
      </c>
      <c r="U35" s="9">
        <v>100.7</v>
      </c>
      <c r="V35" s="33">
        <v>379083</v>
      </c>
      <c r="W35" s="19">
        <v>2433943</v>
      </c>
      <c r="X35" s="19">
        <v>666</v>
      </c>
      <c r="Y35" s="17">
        <v>5325</v>
      </c>
      <c r="Z35" s="16">
        <v>572.88109999999995</v>
      </c>
      <c r="AA35" s="7">
        <v>6029</v>
      </c>
      <c r="AB35" s="29">
        <v>103</v>
      </c>
      <c r="AC35" s="7">
        <v>283</v>
      </c>
      <c r="AD35" s="11">
        <v>579</v>
      </c>
      <c r="AE35" s="11">
        <v>23</v>
      </c>
      <c r="AF35" s="11">
        <v>417</v>
      </c>
      <c r="AG35" s="40">
        <v>13</v>
      </c>
      <c r="AH35" s="40">
        <v>702.1</v>
      </c>
      <c r="AI35" s="40">
        <v>84</v>
      </c>
      <c r="AJ35" s="40">
        <v>61.300000000000004</v>
      </c>
      <c r="AK35" s="40">
        <v>42.19</v>
      </c>
      <c r="AL35" s="40">
        <v>64.823919857415035</v>
      </c>
      <c r="AM35" s="40">
        <v>125.3</v>
      </c>
      <c r="AN35" s="40">
        <v>88289.00196542</v>
      </c>
    </row>
    <row r="36" spans="1:40" x14ac:dyDescent="0.3">
      <c r="A36" s="31" t="s">
        <v>72</v>
      </c>
      <c r="B36" s="6">
        <v>121.1</v>
      </c>
      <c r="C36" s="5">
        <v>118359</v>
      </c>
      <c r="D36" s="5">
        <v>291396.78899999999</v>
      </c>
      <c r="E36" s="6">
        <v>81</v>
      </c>
      <c r="F36" s="6">
        <v>3.0304640248565504</v>
      </c>
      <c r="G36" s="17">
        <v>1293</v>
      </c>
      <c r="H36" s="6">
        <v>10.581</v>
      </c>
      <c r="I36" s="17">
        <v>31067</v>
      </c>
      <c r="J36" s="9">
        <v>87.3</v>
      </c>
      <c r="K36" s="9">
        <v>11.6</v>
      </c>
      <c r="L36" s="9">
        <v>1.9</v>
      </c>
      <c r="M36" s="9">
        <v>-0.8</v>
      </c>
      <c r="N36" s="9">
        <v>1.9</v>
      </c>
      <c r="O36" s="9">
        <v>431.11123608234738</v>
      </c>
      <c r="P36" s="11">
        <v>30868</v>
      </c>
      <c r="Q36" s="11">
        <v>129372</v>
      </c>
      <c r="R36" s="9">
        <v>82.3</v>
      </c>
      <c r="S36" s="6">
        <v>102.5</v>
      </c>
      <c r="T36" s="30">
        <v>1198200171.6757092</v>
      </c>
      <c r="U36" s="9">
        <v>104.3</v>
      </c>
      <c r="V36" s="32">
        <v>1076719.8999999999</v>
      </c>
      <c r="W36" s="19">
        <v>4619295</v>
      </c>
      <c r="X36" s="19">
        <v>386</v>
      </c>
      <c r="Y36" s="17">
        <v>12238</v>
      </c>
      <c r="Z36" s="16">
        <v>54629.135600000001</v>
      </c>
      <c r="AA36" s="7">
        <v>5061</v>
      </c>
      <c r="AB36" s="29">
        <v>160</v>
      </c>
      <c r="AC36" s="7">
        <v>214</v>
      </c>
      <c r="AD36" s="11">
        <v>1244</v>
      </c>
      <c r="AE36" s="11">
        <v>66</v>
      </c>
      <c r="AF36" s="11">
        <v>1641</v>
      </c>
      <c r="AG36" s="40">
        <v>12</v>
      </c>
      <c r="AH36" s="40">
        <v>650.5</v>
      </c>
      <c r="AI36" s="40">
        <v>86.5</v>
      </c>
      <c r="AJ36" s="40">
        <v>45.800000000000004</v>
      </c>
      <c r="AK36" s="40">
        <v>94.17</v>
      </c>
      <c r="AL36" s="40">
        <v>75.358909108368948</v>
      </c>
      <c r="AM36" s="40">
        <v>264.39999999999998</v>
      </c>
      <c r="AN36" s="40">
        <v>198238.71730954997</v>
      </c>
    </row>
    <row r="37" spans="1:40" x14ac:dyDescent="0.3">
      <c r="A37" s="31" t="s">
        <v>73</v>
      </c>
      <c r="B37" s="6">
        <v>123.3</v>
      </c>
      <c r="C37" s="5">
        <v>154793</v>
      </c>
      <c r="D37" s="5">
        <v>643710.52099999995</v>
      </c>
      <c r="E37" s="6">
        <v>81</v>
      </c>
      <c r="F37" s="6">
        <v>3.1983826039802157</v>
      </c>
      <c r="G37" s="17">
        <v>2213</v>
      </c>
      <c r="H37" s="6">
        <v>26.57</v>
      </c>
      <c r="I37" s="17">
        <v>41526</v>
      </c>
      <c r="J37" s="9">
        <v>88.7</v>
      </c>
      <c r="K37" s="9">
        <v>11.9</v>
      </c>
      <c r="L37" s="9">
        <v>1.6</v>
      </c>
      <c r="M37" s="9">
        <v>-2.2000000000000002</v>
      </c>
      <c r="N37" s="9">
        <v>1.6</v>
      </c>
      <c r="O37" s="9">
        <v>338.94807921362411</v>
      </c>
      <c r="P37" s="11">
        <v>65600</v>
      </c>
      <c r="Q37" s="11">
        <v>311222</v>
      </c>
      <c r="R37" s="9">
        <v>81.599999999999994</v>
      </c>
      <c r="S37" s="6">
        <v>103.5</v>
      </c>
      <c r="T37" s="30">
        <v>2234579020.6449332</v>
      </c>
      <c r="U37" s="9">
        <v>103.1</v>
      </c>
      <c r="V37" s="32">
        <v>2358018.6</v>
      </c>
      <c r="W37" s="19">
        <v>8280586</v>
      </c>
      <c r="X37" s="19">
        <v>713</v>
      </c>
      <c r="Y37" s="17">
        <v>37443</v>
      </c>
      <c r="Z37" s="16">
        <v>181793.16709999999</v>
      </c>
      <c r="AA37" s="7">
        <v>5036</v>
      </c>
      <c r="AB37" s="29">
        <v>309</v>
      </c>
      <c r="AC37" s="7">
        <v>204</v>
      </c>
      <c r="AD37" s="11">
        <v>1952</v>
      </c>
      <c r="AE37" s="11">
        <v>171</v>
      </c>
      <c r="AF37" s="11">
        <v>413</v>
      </c>
      <c r="AG37" s="40">
        <v>10</v>
      </c>
      <c r="AH37" s="40">
        <v>750.2</v>
      </c>
      <c r="AI37" s="40">
        <v>80.2</v>
      </c>
      <c r="AJ37" s="40">
        <v>38.5</v>
      </c>
      <c r="AK37" s="40">
        <v>161.583</v>
      </c>
      <c r="AL37" s="40">
        <v>70.873156161042857</v>
      </c>
      <c r="AM37" s="40">
        <v>470.1</v>
      </c>
      <c r="AN37" s="40">
        <v>401777.83716127003</v>
      </c>
    </row>
    <row r="38" spans="1:40" x14ac:dyDescent="0.3">
      <c r="A38" s="31" t="s">
        <v>74</v>
      </c>
      <c r="B38" s="6">
        <v>49.2</v>
      </c>
      <c r="C38" s="5">
        <v>96512</v>
      </c>
      <c r="D38" s="5">
        <v>54029.71</v>
      </c>
      <c r="E38" s="6">
        <v>79</v>
      </c>
      <c r="F38" s="6">
        <v>3.0952995545468864</v>
      </c>
      <c r="G38" s="17">
        <v>289</v>
      </c>
      <c r="H38" s="6">
        <v>2.8929999999999998</v>
      </c>
      <c r="I38" s="17">
        <v>33896</v>
      </c>
      <c r="J38" s="9">
        <v>84.8</v>
      </c>
      <c r="K38" s="9">
        <v>8.6</v>
      </c>
      <c r="L38" s="9">
        <v>2.2999999999999998</v>
      </c>
      <c r="M38" s="9">
        <v>4.3</v>
      </c>
      <c r="N38" s="9">
        <v>2.2999999999999998</v>
      </c>
      <c r="O38" s="9">
        <v>272.5455756768215</v>
      </c>
      <c r="P38" s="11">
        <v>11344</v>
      </c>
      <c r="Q38" s="11">
        <v>1131</v>
      </c>
      <c r="R38" s="9">
        <v>0</v>
      </c>
      <c r="S38" s="6">
        <v>116.4</v>
      </c>
      <c r="T38" s="30">
        <v>216784169.36882719</v>
      </c>
      <c r="U38" s="9">
        <v>109.4</v>
      </c>
      <c r="V38" s="32">
        <v>251466.8</v>
      </c>
      <c r="W38" s="19">
        <v>943645</v>
      </c>
      <c r="X38" s="19">
        <v>858</v>
      </c>
      <c r="Y38" s="17">
        <v>4851</v>
      </c>
      <c r="Z38" s="16">
        <v>1201</v>
      </c>
      <c r="AA38" s="7">
        <v>2693</v>
      </c>
      <c r="AB38" s="29">
        <v>66</v>
      </c>
      <c r="AC38" s="7">
        <v>358</v>
      </c>
      <c r="AD38" s="11">
        <v>134</v>
      </c>
      <c r="AE38" s="11">
        <v>10</v>
      </c>
      <c r="AF38" s="11">
        <v>1536</v>
      </c>
      <c r="AG38" s="40">
        <v>12</v>
      </c>
      <c r="AH38" s="40">
        <v>543.9</v>
      </c>
      <c r="AI38" s="40">
        <v>63.900000000000006</v>
      </c>
      <c r="AJ38" s="40">
        <v>47.1</v>
      </c>
      <c r="AK38" s="40">
        <v>20.302</v>
      </c>
      <c r="AL38" s="40">
        <v>65.956271726064784</v>
      </c>
      <c r="AM38" s="40">
        <v>54.2</v>
      </c>
      <c r="AN38" s="40">
        <v>84721.99943525999</v>
      </c>
    </row>
    <row r="39" spans="1:40" x14ac:dyDescent="0.3">
      <c r="A39" s="31" t="s">
        <v>75</v>
      </c>
      <c r="B39" s="6">
        <v>107.2</v>
      </c>
      <c r="C39" s="5">
        <v>108853</v>
      </c>
      <c r="D39" s="5">
        <v>350615.33</v>
      </c>
      <c r="E39" s="6">
        <v>61</v>
      </c>
      <c r="F39" s="6">
        <v>12.454299996532352</v>
      </c>
      <c r="G39" s="17">
        <v>1458</v>
      </c>
      <c r="H39" s="6">
        <v>10.398999999999999</v>
      </c>
      <c r="I39" s="17">
        <v>32046</v>
      </c>
      <c r="J39" s="9">
        <v>80.7</v>
      </c>
      <c r="K39" s="9">
        <v>4</v>
      </c>
      <c r="L39" s="9">
        <v>0.6</v>
      </c>
      <c r="M39" s="9">
        <v>14.7</v>
      </c>
      <c r="N39" s="9">
        <v>0.6</v>
      </c>
      <c r="O39" s="9">
        <v>212.85436900412844</v>
      </c>
      <c r="P39" s="11">
        <v>29136</v>
      </c>
      <c r="Q39" s="11">
        <v>-11989</v>
      </c>
      <c r="R39" s="9">
        <v>96.6</v>
      </c>
      <c r="S39" s="6">
        <v>123.8</v>
      </c>
      <c r="T39" s="30">
        <v>860636800.85803151</v>
      </c>
      <c r="U39" s="9">
        <v>101.9</v>
      </c>
      <c r="V39" s="32">
        <v>1364659.5</v>
      </c>
      <c r="W39" s="19">
        <v>1852649</v>
      </c>
      <c r="X39" s="19">
        <v>502</v>
      </c>
      <c r="Y39" s="17">
        <v>15073</v>
      </c>
      <c r="Z39" s="16">
        <v>1731.6494</v>
      </c>
      <c r="AA39" s="7">
        <v>2339</v>
      </c>
      <c r="AB39" s="29">
        <v>73</v>
      </c>
      <c r="AC39" s="7">
        <v>122</v>
      </c>
      <c r="AD39" s="11">
        <v>1094</v>
      </c>
      <c r="AE39" s="11">
        <v>37</v>
      </c>
      <c r="AF39" s="11">
        <v>183</v>
      </c>
      <c r="AG39" s="40">
        <v>6</v>
      </c>
      <c r="AH39" s="40">
        <v>794.6</v>
      </c>
      <c r="AI39" s="40">
        <v>64</v>
      </c>
      <c r="AJ39" s="40">
        <v>40.1</v>
      </c>
      <c r="AK39" s="40">
        <v>107.898</v>
      </c>
      <c r="AL39" s="40">
        <v>38.821726177626182</v>
      </c>
      <c r="AM39" s="40">
        <v>479.9</v>
      </c>
      <c r="AN39" s="40">
        <v>193829.64041492002</v>
      </c>
    </row>
    <row r="40" spans="1:40" x14ac:dyDescent="0.3">
      <c r="A40" s="31" t="s">
        <v>76</v>
      </c>
      <c r="B40" s="6">
        <v>105.5</v>
      </c>
      <c r="C40" s="5">
        <v>44397</v>
      </c>
      <c r="D40" s="5">
        <v>23225.996300000003</v>
      </c>
      <c r="E40" s="6">
        <v>58.1</v>
      </c>
      <c r="F40" s="6">
        <v>28.913455663843731</v>
      </c>
      <c r="G40" s="17">
        <v>279</v>
      </c>
      <c r="H40" s="6">
        <v>1.657</v>
      </c>
      <c r="I40" s="17">
        <v>14491</v>
      </c>
      <c r="J40" s="9">
        <v>59.3</v>
      </c>
      <c r="K40" s="9">
        <v>4.0999999999999996</v>
      </c>
      <c r="L40" s="9">
        <v>1.4</v>
      </c>
      <c r="M40" s="9">
        <v>35.200000000000003</v>
      </c>
      <c r="N40" s="9">
        <v>1.4</v>
      </c>
      <c r="O40" s="9">
        <v>179.21361101627403</v>
      </c>
      <c r="P40" s="11">
        <v>5373</v>
      </c>
      <c r="Q40" s="11">
        <v>-1889</v>
      </c>
      <c r="R40" s="9">
        <v>85.8</v>
      </c>
      <c r="S40" s="6">
        <v>117.8</v>
      </c>
      <c r="T40" s="30">
        <v>77410974.348233923</v>
      </c>
      <c r="U40" s="9">
        <v>103.8</v>
      </c>
      <c r="V40" s="32">
        <v>97718.399999999994</v>
      </c>
      <c r="W40" s="19">
        <v>280730</v>
      </c>
      <c r="X40" s="19">
        <v>311</v>
      </c>
      <c r="Y40" s="17">
        <v>1335</v>
      </c>
      <c r="Z40" s="16">
        <v>0</v>
      </c>
      <c r="AA40" s="7">
        <v>1306</v>
      </c>
      <c r="AB40" s="29">
        <v>4</v>
      </c>
      <c r="AC40" s="7">
        <v>218</v>
      </c>
      <c r="AD40" s="11">
        <v>170</v>
      </c>
      <c r="AE40" s="11">
        <v>10</v>
      </c>
      <c r="AF40" s="11">
        <v>693</v>
      </c>
      <c r="AG40" s="40">
        <v>6</v>
      </c>
      <c r="AH40" s="40">
        <v>522</v>
      </c>
      <c r="AI40" s="40">
        <v>44.300000000000004</v>
      </c>
      <c r="AJ40" s="40">
        <v>48</v>
      </c>
      <c r="AK40" s="40">
        <v>24.193000000000001</v>
      </c>
      <c r="AL40" s="40">
        <v>49.779835390946502</v>
      </c>
      <c r="AM40" s="40">
        <v>86.2</v>
      </c>
      <c r="AN40" s="40">
        <v>40069.80847915</v>
      </c>
    </row>
    <row r="41" spans="1:40" x14ac:dyDescent="0.3">
      <c r="A41" s="31" t="s">
        <v>77</v>
      </c>
      <c r="B41" s="6">
        <v>108.5</v>
      </c>
      <c r="C41" s="5">
        <v>75566</v>
      </c>
      <c r="D41" s="5">
        <v>68338.880999999994</v>
      </c>
      <c r="E41" s="6">
        <v>68.8</v>
      </c>
      <c r="F41" s="6">
        <v>9.8457663145549965</v>
      </c>
      <c r="G41" s="17">
        <v>443</v>
      </c>
      <c r="H41" s="6">
        <v>2.9359999999999999</v>
      </c>
      <c r="I41" s="17">
        <v>33021</v>
      </c>
      <c r="J41" s="9">
        <v>84.8</v>
      </c>
      <c r="K41" s="9">
        <v>5.9</v>
      </c>
      <c r="L41" s="9">
        <v>1.7</v>
      </c>
      <c r="M41" s="9">
        <v>7.6</v>
      </c>
      <c r="N41" s="9">
        <v>1.7</v>
      </c>
      <c r="O41" s="9">
        <v>278.90009983831493</v>
      </c>
      <c r="P41" s="11">
        <v>10418</v>
      </c>
      <c r="Q41" s="11">
        <v>-2044</v>
      </c>
      <c r="R41" s="9">
        <v>101.7</v>
      </c>
      <c r="S41" s="6">
        <v>102.7</v>
      </c>
      <c r="T41" s="30">
        <v>247186527.8080906</v>
      </c>
      <c r="U41" s="9">
        <v>107</v>
      </c>
      <c r="V41" s="32">
        <v>414105.7</v>
      </c>
      <c r="W41" s="19">
        <v>666197</v>
      </c>
      <c r="X41" s="19">
        <v>618</v>
      </c>
      <c r="Y41" s="17">
        <v>5413</v>
      </c>
      <c r="Z41" s="16">
        <v>375.96320000000003</v>
      </c>
      <c r="AA41" s="7">
        <v>5527</v>
      </c>
      <c r="AB41" s="29">
        <v>18</v>
      </c>
      <c r="AC41" s="7">
        <v>210</v>
      </c>
      <c r="AD41" s="11">
        <v>518</v>
      </c>
      <c r="AE41" s="11">
        <v>17</v>
      </c>
      <c r="AF41" s="11">
        <v>375</v>
      </c>
      <c r="AG41" s="40">
        <v>6</v>
      </c>
      <c r="AH41" s="40">
        <v>449.40000000000003</v>
      </c>
      <c r="AI41" s="40">
        <v>71.900000000000006</v>
      </c>
      <c r="AJ41" s="40">
        <v>45.800000000000004</v>
      </c>
      <c r="AK41" s="40">
        <v>47.615000000000002</v>
      </c>
      <c r="AL41" s="40">
        <v>73.543494377857414</v>
      </c>
      <c r="AM41" s="40">
        <v>121.7</v>
      </c>
      <c r="AN41" s="40">
        <v>69990.959413389995</v>
      </c>
    </row>
    <row r="42" spans="1:40" x14ac:dyDescent="0.3">
      <c r="A42" s="31" t="s">
        <v>78</v>
      </c>
      <c r="B42" s="6">
        <v>77.900000000000006</v>
      </c>
      <c r="C42" s="5">
        <v>61731</v>
      </c>
      <c r="D42" s="5">
        <v>28913.518</v>
      </c>
      <c r="E42" s="6">
        <v>69.099999999999994</v>
      </c>
      <c r="F42" s="6">
        <v>7.9088448708320183</v>
      </c>
      <c r="G42" s="17">
        <v>227</v>
      </c>
      <c r="H42" s="6">
        <v>2.331</v>
      </c>
      <c r="I42" s="17">
        <v>17547</v>
      </c>
      <c r="J42" s="9">
        <v>68.5</v>
      </c>
      <c r="K42" s="9">
        <v>11.7</v>
      </c>
      <c r="L42" s="9">
        <v>1.8</v>
      </c>
      <c r="M42" s="9">
        <v>18</v>
      </c>
      <c r="N42" s="9">
        <v>1.8</v>
      </c>
      <c r="O42" s="9">
        <v>208.89259953621652</v>
      </c>
      <c r="P42" s="11">
        <v>5596</v>
      </c>
      <c r="Q42" s="11">
        <v>-6383</v>
      </c>
      <c r="R42" s="9">
        <v>113.3</v>
      </c>
      <c r="S42" s="6">
        <v>114.3</v>
      </c>
      <c r="T42" s="30">
        <v>121694573.28066018</v>
      </c>
      <c r="U42" s="9">
        <v>104.4</v>
      </c>
      <c r="V42" s="32">
        <v>127555.3</v>
      </c>
      <c r="W42" s="19">
        <v>550339</v>
      </c>
      <c r="X42" s="19">
        <v>897</v>
      </c>
      <c r="Y42" s="17">
        <v>3176</v>
      </c>
      <c r="Z42" s="16">
        <v>251.81220000000002</v>
      </c>
      <c r="AA42" s="7">
        <v>5343</v>
      </c>
      <c r="AB42" s="29">
        <v>14</v>
      </c>
      <c r="AC42" s="7">
        <v>99</v>
      </c>
      <c r="AD42" s="11">
        <v>279</v>
      </c>
      <c r="AE42" s="11">
        <v>15</v>
      </c>
      <c r="AF42" s="11">
        <v>129</v>
      </c>
      <c r="AG42" s="40">
        <v>9</v>
      </c>
      <c r="AH42" s="40">
        <v>901.6</v>
      </c>
      <c r="AI42" s="40">
        <v>63.7</v>
      </c>
      <c r="AJ42" s="40">
        <v>44.6</v>
      </c>
      <c r="AK42" s="40">
        <v>18.954999999999998</v>
      </c>
      <c r="AL42" s="40">
        <v>59.872390157617104</v>
      </c>
      <c r="AM42" s="40">
        <v>58.2</v>
      </c>
      <c r="AN42" s="40">
        <v>39901.26892676</v>
      </c>
    </row>
    <row r="43" spans="1:40" ht="27.6" x14ac:dyDescent="0.3">
      <c r="A43" s="31" t="s">
        <v>79</v>
      </c>
      <c r="B43" s="6">
        <v>92.5</v>
      </c>
      <c r="C43" s="5">
        <v>63987</v>
      </c>
      <c r="D43" s="5">
        <v>43499.188000000002</v>
      </c>
      <c r="E43" s="6">
        <v>64.7</v>
      </c>
      <c r="F43" s="6">
        <v>10.394973974765948</v>
      </c>
      <c r="G43" s="17">
        <v>332</v>
      </c>
      <c r="H43" s="6">
        <v>3.75</v>
      </c>
      <c r="I43" s="17">
        <v>26999</v>
      </c>
      <c r="J43" s="9">
        <v>76.5</v>
      </c>
      <c r="K43" s="9">
        <v>9.4</v>
      </c>
      <c r="L43" s="9">
        <v>4</v>
      </c>
      <c r="M43" s="9">
        <v>10.1</v>
      </c>
      <c r="N43" s="9">
        <v>4</v>
      </c>
      <c r="O43" s="9">
        <v>330.53312887863666</v>
      </c>
      <c r="P43" s="11">
        <v>8849</v>
      </c>
      <c r="Q43" s="11">
        <v>-94</v>
      </c>
      <c r="R43" s="9">
        <v>89.4</v>
      </c>
      <c r="S43" s="6">
        <v>126.6</v>
      </c>
      <c r="T43" s="30">
        <v>206708808.5554958</v>
      </c>
      <c r="U43" s="9">
        <v>100.5</v>
      </c>
      <c r="V43" s="32">
        <v>302765.59999999998</v>
      </c>
      <c r="W43" s="19">
        <v>462446</v>
      </c>
      <c r="X43" s="19">
        <v>708</v>
      </c>
      <c r="Y43" s="17">
        <v>5409</v>
      </c>
      <c r="Z43" s="16">
        <v>0</v>
      </c>
      <c r="AA43" s="7">
        <v>4936</v>
      </c>
      <c r="AB43" s="29">
        <v>22</v>
      </c>
      <c r="AC43" s="7">
        <v>317</v>
      </c>
      <c r="AD43" s="11">
        <v>444</v>
      </c>
      <c r="AE43" s="11">
        <v>26</v>
      </c>
      <c r="AF43" s="11">
        <v>180</v>
      </c>
      <c r="AG43" s="40">
        <v>11</v>
      </c>
      <c r="AH43" s="40">
        <v>638.1</v>
      </c>
      <c r="AI43" s="40">
        <v>94.600000000000009</v>
      </c>
      <c r="AJ43" s="40">
        <v>71.400000000000006</v>
      </c>
      <c r="AK43" s="40">
        <v>31.353999999999999</v>
      </c>
      <c r="AL43" s="40">
        <v>70.682386888793701</v>
      </c>
      <c r="AM43" s="40">
        <v>94.9</v>
      </c>
      <c r="AN43" s="40">
        <v>58910.377723329999</v>
      </c>
    </row>
    <row r="44" spans="1:40" x14ac:dyDescent="0.3">
      <c r="A44" s="31" t="s">
        <v>80</v>
      </c>
      <c r="B44" s="6">
        <v>129.19999999999999</v>
      </c>
      <c r="C44" s="5">
        <v>105881</v>
      </c>
      <c r="D44" s="5">
        <v>163377.91200000001</v>
      </c>
      <c r="E44" s="6">
        <v>62.1</v>
      </c>
      <c r="F44" s="6">
        <v>11.051508336482136</v>
      </c>
      <c r="G44" s="17">
        <v>656</v>
      </c>
      <c r="H44" s="6">
        <v>5.7779999999999996</v>
      </c>
      <c r="I44" s="17">
        <v>25262</v>
      </c>
      <c r="J44" s="9">
        <v>70.3</v>
      </c>
      <c r="K44" s="9">
        <v>4.2</v>
      </c>
      <c r="L44" s="9">
        <v>0.9</v>
      </c>
      <c r="M44" s="9">
        <v>24.6</v>
      </c>
      <c r="N44" s="9">
        <v>0.9</v>
      </c>
      <c r="O44" s="9">
        <v>221.82274581322537</v>
      </c>
      <c r="P44" s="11">
        <v>10211</v>
      </c>
      <c r="Q44" s="11">
        <v>-28848</v>
      </c>
      <c r="R44" s="9">
        <v>128.4</v>
      </c>
      <c r="S44" s="6">
        <v>104.5</v>
      </c>
      <c r="T44" s="30">
        <v>340255365.5297668</v>
      </c>
      <c r="U44" s="9">
        <v>104.7</v>
      </c>
      <c r="V44" s="32">
        <v>509178.1</v>
      </c>
      <c r="W44" s="19">
        <v>1073855</v>
      </c>
      <c r="X44" s="19">
        <v>1511</v>
      </c>
      <c r="Y44" s="17">
        <v>16898</v>
      </c>
      <c r="Z44" s="16">
        <v>112.1435</v>
      </c>
      <c r="AA44" s="7">
        <v>1483</v>
      </c>
      <c r="AB44" s="29">
        <v>17</v>
      </c>
      <c r="AC44" s="7">
        <v>154</v>
      </c>
      <c r="AD44" s="11">
        <v>785</v>
      </c>
      <c r="AE44" s="11">
        <v>26</v>
      </c>
      <c r="AF44" s="11">
        <v>268</v>
      </c>
      <c r="AG44" s="40">
        <v>11</v>
      </c>
      <c r="AH44" s="40">
        <v>428.3</v>
      </c>
      <c r="AI44" s="40">
        <v>55.900000000000006</v>
      </c>
      <c r="AJ44" s="40">
        <v>33.300000000000004</v>
      </c>
      <c r="AK44" s="40">
        <v>89.260999999999996</v>
      </c>
      <c r="AL44" s="40">
        <v>50.036997589550978</v>
      </c>
      <c r="AM44" s="40">
        <v>312.10000000000002</v>
      </c>
      <c r="AN44" s="40">
        <v>155026.24464686</v>
      </c>
    </row>
    <row r="45" spans="1:40" x14ac:dyDescent="0.3">
      <c r="A45" s="31" t="s">
        <v>81</v>
      </c>
      <c r="B45" s="6">
        <v>106.2</v>
      </c>
      <c r="C45" s="5">
        <v>115864</v>
      </c>
      <c r="D45" s="5">
        <v>334690.39600000001</v>
      </c>
      <c r="E45" s="6">
        <v>75.099999999999994</v>
      </c>
      <c r="F45" s="6">
        <v>3.9262098851807896</v>
      </c>
      <c r="G45" s="17">
        <v>1429</v>
      </c>
      <c r="H45" s="6">
        <v>13.648999999999999</v>
      </c>
      <c r="I45" s="17">
        <v>30648</v>
      </c>
      <c r="J45" s="9">
        <v>93.1</v>
      </c>
      <c r="K45" s="9">
        <v>12.5</v>
      </c>
      <c r="L45" s="9">
        <v>1.5</v>
      </c>
      <c r="M45" s="9">
        <v>-7.1</v>
      </c>
      <c r="N45" s="9">
        <v>1.5</v>
      </c>
      <c r="O45" s="9">
        <v>265.34592607068066</v>
      </c>
      <c r="P45" s="11">
        <v>32518</v>
      </c>
      <c r="Q45" s="11">
        <v>167540</v>
      </c>
      <c r="R45" s="9">
        <v>84.1</v>
      </c>
      <c r="S45" s="6">
        <v>106.4</v>
      </c>
      <c r="T45" s="30">
        <v>1123701913.4898958</v>
      </c>
      <c r="U45" s="9">
        <v>101.5</v>
      </c>
      <c r="V45" s="33">
        <v>1273094</v>
      </c>
      <c r="W45" s="19">
        <v>3857823</v>
      </c>
      <c r="X45" s="19">
        <v>620</v>
      </c>
      <c r="Y45" s="17">
        <v>19805</v>
      </c>
      <c r="Z45" s="16">
        <v>59725.878700000001</v>
      </c>
      <c r="AA45" s="7">
        <v>5289</v>
      </c>
      <c r="AB45" s="29">
        <v>177</v>
      </c>
      <c r="AC45" s="7">
        <v>117</v>
      </c>
      <c r="AD45" s="11">
        <v>1214</v>
      </c>
      <c r="AE45" s="11">
        <v>120</v>
      </c>
      <c r="AF45" s="11">
        <v>425</v>
      </c>
      <c r="AG45" s="40">
        <v>11</v>
      </c>
      <c r="AH45" s="40">
        <v>846.30000000000007</v>
      </c>
      <c r="AI45" s="40">
        <v>80.900000000000006</v>
      </c>
      <c r="AJ45" s="40">
        <v>44.800000000000004</v>
      </c>
      <c r="AK45" s="40">
        <v>120.04300000000001</v>
      </c>
      <c r="AL45" s="40">
        <v>70.306249743766941</v>
      </c>
      <c r="AM45" s="40">
        <v>324.5</v>
      </c>
      <c r="AN45" s="40">
        <v>217925.96558123999</v>
      </c>
    </row>
    <row r="46" spans="1:40" x14ac:dyDescent="0.3">
      <c r="A46" s="31" t="s">
        <v>82</v>
      </c>
      <c r="B46" s="6">
        <v>107.6</v>
      </c>
      <c r="C46" s="5">
        <v>152301</v>
      </c>
      <c r="D46" s="5">
        <v>620014.41399999999</v>
      </c>
      <c r="E46" s="6">
        <v>76.599999999999994</v>
      </c>
      <c r="F46" s="6">
        <v>2.441709756892176</v>
      </c>
      <c r="G46" s="17">
        <v>1948</v>
      </c>
      <c r="H46" s="6">
        <v>18.738</v>
      </c>
      <c r="I46" s="17">
        <v>35226</v>
      </c>
      <c r="J46" s="9">
        <v>88</v>
      </c>
      <c r="K46" s="9">
        <v>12.3</v>
      </c>
      <c r="L46" s="6">
        <v>3.4</v>
      </c>
      <c r="M46" s="9">
        <v>-3.7</v>
      </c>
      <c r="N46" s="9">
        <v>3.4</v>
      </c>
      <c r="O46" s="9">
        <v>412.91804541968588</v>
      </c>
      <c r="P46" s="11">
        <v>67324</v>
      </c>
      <c r="Q46" s="11">
        <v>425856</v>
      </c>
      <c r="R46" s="9">
        <v>99</v>
      </c>
      <c r="S46" s="6">
        <v>108</v>
      </c>
      <c r="T46" s="30">
        <v>2133718433.3892972</v>
      </c>
      <c r="U46" s="9">
        <v>101</v>
      </c>
      <c r="V46" s="32">
        <v>2063975.9</v>
      </c>
      <c r="W46" s="19">
        <v>8197763</v>
      </c>
      <c r="X46" s="19">
        <v>814</v>
      </c>
      <c r="Y46" s="17">
        <v>43451</v>
      </c>
      <c r="Z46" s="16">
        <v>215342.0465</v>
      </c>
      <c r="AA46" s="7">
        <v>6490</v>
      </c>
      <c r="AB46" s="29">
        <v>297</v>
      </c>
      <c r="AC46" s="7">
        <v>257</v>
      </c>
      <c r="AD46" s="11">
        <v>2687</v>
      </c>
      <c r="AE46" s="11">
        <v>218</v>
      </c>
      <c r="AF46" s="11">
        <v>295</v>
      </c>
      <c r="AG46" s="40">
        <v>12</v>
      </c>
      <c r="AH46" s="40">
        <v>1022.5</v>
      </c>
      <c r="AI46" s="40">
        <v>73.8</v>
      </c>
      <c r="AJ46" s="40">
        <v>44.400000000000006</v>
      </c>
      <c r="AK46" s="40">
        <v>208.85400000000001</v>
      </c>
      <c r="AL46" s="40">
        <v>82.556861753010097</v>
      </c>
      <c r="AM46" s="40">
        <v>523.70000000000005</v>
      </c>
      <c r="AN46" s="40">
        <v>338781.33593784005</v>
      </c>
    </row>
    <row r="47" spans="1:40" x14ac:dyDescent="0.3">
      <c r="A47" s="31" t="s">
        <v>83</v>
      </c>
      <c r="B47" s="6">
        <v>114.1</v>
      </c>
      <c r="C47" s="5">
        <v>77827</v>
      </c>
      <c r="D47" s="5">
        <v>52228.472000000002</v>
      </c>
      <c r="E47" s="6">
        <v>78.599999999999994</v>
      </c>
      <c r="F47" s="6">
        <v>3.4720932825807989</v>
      </c>
      <c r="G47" s="17">
        <v>331</v>
      </c>
      <c r="H47" s="6">
        <v>3.1080000000000001</v>
      </c>
      <c r="I47" s="17">
        <v>23518</v>
      </c>
      <c r="J47" s="9">
        <v>75.8</v>
      </c>
      <c r="K47" s="9">
        <v>13.4</v>
      </c>
      <c r="L47" s="6">
        <v>4.0999999999999996</v>
      </c>
      <c r="M47" s="9">
        <v>6.7</v>
      </c>
      <c r="N47" s="9">
        <v>4</v>
      </c>
      <c r="O47" s="9">
        <v>258.80117159858719</v>
      </c>
      <c r="P47" s="11">
        <v>10575</v>
      </c>
      <c r="Q47" s="11">
        <v>38808</v>
      </c>
      <c r="R47" s="9">
        <v>117</v>
      </c>
      <c r="S47" s="6">
        <v>115.7</v>
      </c>
      <c r="T47" s="30">
        <v>245097791.27103329</v>
      </c>
      <c r="U47" s="9">
        <v>99.7</v>
      </c>
      <c r="V47" s="32">
        <v>237361.8</v>
      </c>
      <c r="W47" s="19">
        <v>1037588</v>
      </c>
      <c r="X47" s="19">
        <v>800</v>
      </c>
      <c r="Y47" s="17">
        <v>6664</v>
      </c>
      <c r="Z47" s="16">
        <v>20537.142800000001</v>
      </c>
      <c r="AA47" s="7">
        <v>6956</v>
      </c>
      <c r="AB47" s="29">
        <v>51</v>
      </c>
      <c r="AC47" s="7">
        <v>561</v>
      </c>
      <c r="AD47" s="11">
        <v>391</v>
      </c>
      <c r="AE47" s="11">
        <v>42</v>
      </c>
      <c r="AF47" s="11">
        <v>868</v>
      </c>
      <c r="AG47" s="40">
        <v>22</v>
      </c>
      <c r="AH47" s="40">
        <v>971.7</v>
      </c>
      <c r="AI47" s="40">
        <v>80</v>
      </c>
      <c r="AJ47" s="40">
        <v>36.9</v>
      </c>
      <c r="AK47" s="40">
        <v>33.752000000000002</v>
      </c>
      <c r="AL47" s="40">
        <v>82.869699722556405</v>
      </c>
      <c r="AM47" s="40">
        <v>86.3</v>
      </c>
      <c r="AN47" s="40">
        <v>63615.5998511</v>
      </c>
    </row>
    <row r="48" spans="1:40" x14ac:dyDescent="0.3">
      <c r="A48" s="31" t="s">
        <v>84</v>
      </c>
      <c r="B48" s="6">
        <v>112.4</v>
      </c>
      <c r="C48" s="5">
        <v>96397</v>
      </c>
      <c r="D48" s="5">
        <v>74093.751000000004</v>
      </c>
      <c r="E48" s="6">
        <v>82.1</v>
      </c>
      <c r="F48" s="6">
        <v>2.6623513191584074</v>
      </c>
      <c r="G48" s="17">
        <v>422</v>
      </c>
      <c r="H48" s="6">
        <v>5.2519999999999998</v>
      </c>
      <c r="I48" s="17">
        <v>26730</v>
      </c>
      <c r="J48" s="9">
        <v>87.2</v>
      </c>
      <c r="K48" s="9">
        <v>13.4</v>
      </c>
      <c r="L48" s="6">
        <v>3.7</v>
      </c>
      <c r="M48" s="9">
        <v>-4.3</v>
      </c>
      <c r="N48" s="9">
        <v>3.7</v>
      </c>
      <c r="O48" s="9">
        <v>344.44326934250438</v>
      </c>
      <c r="P48" s="11">
        <v>11307</v>
      </c>
      <c r="Q48" s="11">
        <v>58994</v>
      </c>
      <c r="R48" s="9">
        <v>129.30000000000001</v>
      </c>
      <c r="S48" s="6">
        <v>109.5</v>
      </c>
      <c r="T48" s="30">
        <v>322088831.13545054</v>
      </c>
      <c r="U48" s="9">
        <v>98.9</v>
      </c>
      <c r="V48" s="32">
        <v>311595.8</v>
      </c>
      <c r="W48" s="19">
        <v>1266947</v>
      </c>
      <c r="X48" s="19">
        <v>469</v>
      </c>
      <c r="Y48" s="17">
        <v>5050.4210526315792</v>
      </c>
      <c r="Z48" s="16">
        <v>110836.9892</v>
      </c>
      <c r="AA48" s="7">
        <v>7886</v>
      </c>
      <c r="AB48" s="29">
        <v>32</v>
      </c>
      <c r="AC48" s="7">
        <v>324</v>
      </c>
      <c r="AD48" s="11">
        <v>492</v>
      </c>
      <c r="AE48" s="11">
        <v>36</v>
      </c>
      <c r="AF48" s="11">
        <v>334</v>
      </c>
      <c r="AG48" s="40">
        <v>10</v>
      </c>
      <c r="AH48" s="40">
        <v>660.90000000000009</v>
      </c>
      <c r="AI48" s="40">
        <v>74.900000000000006</v>
      </c>
      <c r="AJ48" s="40">
        <v>54.5</v>
      </c>
      <c r="AK48" s="40">
        <v>27.803999999999998</v>
      </c>
      <c r="AL48" s="40">
        <v>81.283985265742857</v>
      </c>
      <c r="AM48" s="40">
        <v>73.8</v>
      </c>
      <c r="AN48" s="40">
        <v>70231.446378139997</v>
      </c>
    </row>
    <row r="49" spans="1:40" x14ac:dyDescent="0.3">
      <c r="A49" s="31" t="s">
        <v>85</v>
      </c>
      <c r="B49" s="6">
        <v>122</v>
      </c>
      <c r="C49" s="5">
        <v>294941</v>
      </c>
      <c r="D49" s="5">
        <v>1180447.878</v>
      </c>
      <c r="E49" s="6">
        <v>83</v>
      </c>
      <c r="F49" s="6">
        <v>2.1014923999974187</v>
      </c>
      <c r="G49" s="17">
        <v>2066</v>
      </c>
      <c r="H49" s="6">
        <v>28.692</v>
      </c>
      <c r="I49" s="17">
        <v>42009</v>
      </c>
      <c r="J49" s="9">
        <v>80</v>
      </c>
      <c r="K49" s="9">
        <v>13.9</v>
      </c>
      <c r="L49" s="6">
        <v>3</v>
      </c>
      <c r="M49" s="9">
        <v>3.1</v>
      </c>
      <c r="N49" s="9">
        <v>3.1</v>
      </c>
      <c r="O49" s="9">
        <v>287.46175383760647</v>
      </c>
      <c r="P49" s="11">
        <v>99382</v>
      </c>
      <c r="Q49" s="11">
        <v>1320174</v>
      </c>
      <c r="R49" s="9">
        <v>99.7</v>
      </c>
      <c r="S49" s="6">
        <v>103</v>
      </c>
      <c r="T49" s="30">
        <v>3871889394.9135313</v>
      </c>
      <c r="U49" s="9">
        <v>105.4</v>
      </c>
      <c r="V49" s="32">
        <v>2530979.2999999998</v>
      </c>
      <c r="W49" s="19">
        <v>11075264</v>
      </c>
      <c r="X49" s="19">
        <v>859</v>
      </c>
      <c r="Y49" s="17">
        <v>46872</v>
      </c>
      <c r="Z49" s="16">
        <v>1126201.7344000002</v>
      </c>
      <c r="AA49" s="7">
        <v>5868</v>
      </c>
      <c r="AB49" s="29">
        <v>628</v>
      </c>
      <c r="AC49" s="7">
        <v>341</v>
      </c>
      <c r="AD49" s="11">
        <v>2083</v>
      </c>
      <c r="AE49" s="11">
        <v>293</v>
      </c>
      <c r="AF49" s="11">
        <v>2230</v>
      </c>
      <c r="AG49" s="40">
        <v>15</v>
      </c>
      <c r="AH49" s="40">
        <v>828.6</v>
      </c>
      <c r="AI49" s="40">
        <v>61.6</v>
      </c>
      <c r="AJ49" s="40">
        <v>45.300000000000004</v>
      </c>
      <c r="AK49" s="40">
        <v>201.01900000000001</v>
      </c>
      <c r="AL49" s="40">
        <v>77.559910332241415</v>
      </c>
      <c r="AM49" s="40">
        <v>503.5</v>
      </c>
      <c r="AN49" s="40">
        <v>565706.35529419</v>
      </c>
    </row>
    <row r="50" spans="1:40" x14ac:dyDescent="0.3">
      <c r="A50" s="31" t="s">
        <v>86</v>
      </c>
      <c r="B50" s="6">
        <v>106</v>
      </c>
      <c r="C50" s="5">
        <v>115629</v>
      </c>
      <c r="D50" s="5">
        <v>166321.85500000001</v>
      </c>
      <c r="E50" s="6">
        <v>82</v>
      </c>
      <c r="F50" s="6">
        <v>2.3364568811878623</v>
      </c>
      <c r="G50" s="17">
        <v>728</v>
      </c>
      <c r="H50" s="6">
        <v>7.5060000000000002</v>
      </c>
      <c r="I50" s="17">
        <v>29170</v>
      </c>
      <c r="J50" s="9">
        <v>74.900000000000006</v>
      </c>
      <c r="K50" s="9">
        <v>15</v>
      </c>
      <c r="L50" s="6">
        <v>2.5</v>
      </c>
      <c r="M50" s="9">
        <v>7.6</v>
      </c>
      <c r="N50" s="9">
        <v>2.5</v>
      </c>
      <c r="O50" s="9">
        <v>310.35434632433567</v>
      </c>
      <c r="P50" s="11">
        <v>31011</v>
      </c>
      <c r="Q50" s="11">
        <v>89894</v>
      </c>
      <c r="R50" s="9">
        <v>96.4</v>
      </c>
      <c r="S50" s="6">
        <v>113.6</v>
      </c>
      <c r="T50" s="30">
        <v>947222644.91375995</v>
      </c>
      <c r="U50" s="9">
        <v>101.4</v>
      </c>
      <c r="V50" s="32">
        <v>646839.80000000005</v>
      </c>
      <c r="W50" s="19">
        <v>2893211</v>
      </c>
      <c r="X50" s="19">
        <v>966</v>
      </c>
      <c r="Y50" s="17">
        <v>18403</v>
      </c>
      <c r="Z50" s="16">
        <v>110807.99129999999</v>
      </c>
      <c r="AA50" s="7">
        <v>3663</v>
      </c>
      <c r="AB50" s="29">
        <v>213</v>
      </c>
      <c r="AC50" s="7">
        <v>312</v>
      </c>
      <c r="AD50" s="11">
        <v>1018</v>
      </c>
      <c r="AE50" s="11">
        <v>104</v>
      </c>
      <c r="AF50" s="11">
        <v>572</v>
      </c>
      <c r="AG50" s="40">
        <v>13</v>
      </c>
      <c r="AH50" s="40">
        <v>898.1</v>
      </c>
      <c r="AI50" s="40">
        <v>80.5</v>
      </c>
      <c r="AJ50" s="40">
        <v>54</v>
      </c>
      <c r="AK50" s="40">
        <v>79.400000000000006</v>
      </c>
      <c r="AL50" s="40">
        <v>88.390163532934793</v>
      </c>
      <c r="AM50" s="40">
        <v>200.5</v>
      </c>
      <c r="AN50" s="40">
        <v>130947.568512</v>
      </c>
    </row>
    <row r="51" spans="1:40" x14ac:dyDescent="0.3">
      <c r="A51" s="31" t="s">
        <v>87</v>
      </c>
      <c r="B51" s="6">
        <v>113.2</v>
      </c>
      <c r="C51" s="5">
        <v>105438</v>
      </c>
      <c r="D51" s="5">
        <v>123375.548</v>
      </c>
      <c r="E51" s="6">
        <v>80.099999999999994</v>
      </c>
      <c r="F51" s="6">
        <v>2.5465248595108427</v>
      </c>
      <c r="G51" s="17">
        <v>596</v>
      </c>
      <c r="H51" s="6">
        <v>7.1740000000000004</v>
      </c>
      <c r="I51" s="17">
        <v>25976</v>
      </c>
      <c r="J51" s="9">
        <v>76.099999999999994</v>
      </c>
      <c r="K51" s="9">
        <v>13.8</v>
      </c>
      <c r="L51" s="6">
        <v>4.5</v>
      </c>
      <c r="M51" s="9">
        <v>5.6</v>
      </c>
      <c r="N51" s="9">
        <v>4.5</v>
      </c>
      <c r="O51" s="9">
        <v>250.76324202419582</v>
      </c>
      <c r="P51" s="11">
        <v>19225</v>
      </c>
      <c r="Q51" s="11">
        <v>68639</v>
      </c>
      <c r="R51" s="9">
        <v>62.6</v>
      </c>
      <c r="S51" s="6">
        <v>130.69999999999999</v>
      </c>
      <c r="T51" s="30">
        <v>451680022.51679695</v>
      </c>
      <c r="U51" s="9">
        <v>103.7</v>
      </c>
      <c r="V51" s="32">
        <v>499367.3</v>
      </c>
      <c r="W51" s="19">
        <v>1740668</v>
      </c>
      <c r="X51" s="19">
        <v>667</v>
      </c>
      <c r="Y51" s="17">
        <v>9580.4210526315783</v>
      </c>
      <c r="Z51" s="16">
        <v>44641.834999999999</v>
      </c>
      <c r="AA51" s="7">
        <v>7548</v>
      </c>
      <c r="AB51" s="29">
        <v>89</v>
      </c>
      <c r="AC51" s="7">
        <v>388</v>
      </c>
      <c r="AD51" s="11">
        <v>762</v>
      </c>
      <c r="AE51" s="11">
        <v>86</v>
      </c>
      <c r="AF51" s="11">
        <v>347</v>
      </c>
      <c r="AG51" s="40">
        <v>17</v>
      </c>
      <c r="AH51" s="40">
        <v>861.80000000000007</v>
      </c>
      <c r="AI51" s="40">
        <v>80.5</v>
      </c>
      <c r="AJ51" s="40">
        <v>54.6</v>
      </c>
      <c r="AK51" s="40">
        <v>61.834000000000003</v>
      </c>
      <c r="AL51" s="40">
        <v>85.850746268656721</v>
      </c>
      <c r="AM51" s="40">
        <v>152.1</v>
      </c>
      <c r="AN51" s="40">
        <v>106514.34690166</v>
      </c>
    </row>
    <row r="52" spans="1:40" x14ac:dyDescent="0.3">
      <c r="A52" s="31" t="s">
        <v>88</v>
      </c>
      <c r="B52" s="6">
        <v>115.8</v>
      </c>
      <c r="C52" s="5">
        <v>192425</v>
      </c>
      <c r="D52" s="5">
        <v>481409.9669</v>
      </c>
      <c r="E52" s="6">
        <v>78.7</v>
      </c>
      <c r="F52" s="6">
        <v>2.8229638250075446</v>
      </c>
      <c r="G52" s="17">
        <v>1209</v>
      </c>
      <c r="H52" s="6">
        <v>9.5549999999999997</v>
      </c>
      <c r="I52" s="17">
        <v>35068</v>
      </c>
      <c r="J52" s="9">
        <v>76.900000000000006</v>
      </c>
      <c r="K52" s="9">
        <v>13.3</v>
      </c>
      <c r="L52" s="6">
        <v>1.5</v>
      </c>
      <c r="M52" s="9">
        <v>8.3000000000000007</v>
      </c>
      <c r="N52" s="9">
        <v>1.5</v>
      </c>
      <c r="O52" s="9">
        <v>366.69557474032825</v>
      </c>
      <c r="P52" s="11">
        <v>50796</v>
      </c>
      <c r="Q52" s="11">
        <v>320610</v>
      </c>
      <c r="R52" s="9">
        <v>101.5</v>
      </c>
      <c r="S52" s="6">
        <v>105.9</v>
      </c>
      <c r="T52" s="30">
        <v>1824724003.6887617</v>
      </c>
      <c r="U52" s="9">
        <v>98.7</v>
      </c>
      <c r="V52" s="32">
        <v>1225734.2</v>
      </c>
      <c r="W52" s="19">
        <v>7526672</v>
      </c>
      <c r="X52" s="19">
        <v>771</v>
      </c>
      <c r="Y52" s="17">
        <v>23573.342105263157</v>
      </c>
      <c r="Z52" s="16">
        <v>186460.58069999999</v>
      </c>
      <c r="AA52" s="7">
        <v>4738</v>
      </c>
      <c r="AB52" s="29">
        <v>451</v>
      </c>
      <c r="AC52" s="7">
        <v>349</v>
      </c>
      <c r="AD52" s="11">
        <v>1249</v>
      </c>
      <c r="AE52" s="11">
        <v>76</v>
      </c>
      <c r="AF52" s="11">
        <v>396</v>
      </c>
      <c r="AG52" s="40">
        <v>20</v>
      </c>
      <c r="AH52" s="40">
        <v>921.5</v>
      </c>
      <c r="AI52" s="40">
        <v>75.7</v>
      </c>
      <c r="AJ52" s="40">
        <v>49.6</v>
      </c>
      <c r="AK52" s="40">
        <v>141.11199999999999</v>
      </c>
      <c r="AL52" s="40">
        <v>89.528981829255912</v>
      </c>
      <c r="AM52" s="40">
        <v>340.8</v>
      </c>
      <c r="AN52" s="40">
        <v>291196.15786529001</v>
      </c>
    </row>
    <row r="53" spans="1:40" x14ac:dyDescent="0.3">
      <c r="A53" s="31" t="s">
        <v>89</v>
      </c>
      <c r="B53" s="6">
        <v>106.5</v>
      </c>
      <c r="C53" s="5">
        <v>93680</v>
      </c>
      <c r="D53" s="5">
        <v>106235.81600000001</v>
      </c>
      <c r="E53" s="6">
        <v>83.9</v>
      </c>
      <c r="F53" s="6">
        <v>3.3246649561803308</v>
      </c>
      <c r="G53" s="17">
        <v>582</v>
      </c>
      <c r="H53" s="6">
        <v>4.7759999999999998</v>
      </c>
      <c r="I53" s="17">
        <v>30119</v>
      </c>
      <c r="J53" s="9">
        <v>78.7</v>
      </c>
      <c r="K53" s="9">
        <v>13.5</v>
      </c>
      <c r="L53" s="6">
        <v>3.3</v>
      </c>
      <c r="M53" s="9">
        <v>4.5</v>
      </c>
      <c r="N53" s="9">
        <v>3.4</v>
      </c>
      <c r="O53" s="9">
        <v>314.97564019169243</v>
      </c>
      <c r="P53" s="11">
        <v>26769</v>
      </c>
      <c r="Q53" s="11">
        <v>37338</v>
      </c>
      <c r="R53" s="9">
        <v>117.7</v>
      </c>
      <c r="S53" s="6">
        <v>110.5</v>
      </c>
      <c r="T53" s="30">
        <v>514337507.54996246</v>
      </c>
      <c r="U53" s="9">
        <v>100.7</v>
      </c>
      <c r="V53" s="32">
        <v>514257.2</v>
      </c>
      <c r="W53" s="19">
        <v>1790396</v>
      </c>
      <c r="X53" s="19">
        <v>525</v>
      </c>
      <c r="Y53" s="17">
        <v>7751</v>
      </c>
      <c r="Z53" s="16">
        <v>23752.8331</v>
      </c>
      <c r="AA53" s="7">
        <v>10482</v>
      </c>
      <c r="AB53" s="29">
        <v>135</v>
      </c>
      <c r="AC53" s="7">
        <v>236</v>
      </c>
      <c r="AD53" s="11">
        <v>823</v>
      </c>
      <c r="AE53" s="11">
        <v>42</v>
      </c>
      <c r="AF53" s="11">
        <v>558</v>
      </c>
      <c r="AG53" s="40">
        <v>19</v>
      </c>
      <c r="AH53" s="40">
        <v>869.2</v>
      </c>
      <c r="AI53" s="40">
        <v>97.7</v>
      </c>
      <c r="AJ53" s="40">
        <v>54.2</v>
      </c>
      <c r="AK53" s="40">
        <v>57.326000000000001</v>
      </c>
      <c r="AL53" s="40">
        <v>96.667903274763077</v>
      </c>
      <c r="AM53" s="40">
        <v>147.9</v>
      </c>
      <c r="AN53" s="40">
        <v>111042.98900692</v>
      </c>
    </row>
    <row r="54" spans="1:40" x14ac:dyDescent="0.3">
      <c r="A54" s="31" t="s">
        <v>90</v>
      </c>
      <c r="B54" s="6">
        <v>136.6</v>
      </c>
      <c r="C54" s="5">
        <v>223677</v>
      </c>
      <c r="D54" s="5">
        <v>686929.826</v>
      </c>
      <c r="E54" s="6">
        <v>85.9</v>
      </c>
      <c r="F54" s="6">
        <v>2.067773133164001</v>
      </c>
      <c r="G54" s="17">
        <v>1700</v>
      </c>
      <c r="H54" s="6">
        <v>16.077999999999999</v>
      </c>
      <c r="I54" s="17">
        <v>40630</v>
      </c>
      <c r="J54" s="9">
        <v>80.3</v>
      </c>
      <c r="K54" s="9">
        <v>13.4</v>
      </c>
      <c r="L54" s="6">
        <v>1.3</v>
      </c>
      <c r="M54" s="9">
        <v>5</v>
      </c>
      <c r="N54" s="9">
        <v>1.3</v>
      </c>
      <c r="O54" s="9">
        <v>432.46605355296072</v>
      </c>
      <c r="P54" s="11">
        <v>70118</v>
      </c>
      <c r="Q54" s="11">
        <v>557444</v>
      </c>
      <c r="R54" s="9">
        <v>96.9</v>
      </c>
      <c r="S54" s="6">
        <v>111.7</v>
      </c>
      <c r="T54" s="30">
        <v>2186819611.5086637</v>
      </c>
      <c r="U54" s="9">
        <v>102.5</v>
      </c>
      <c r="V54" s="32">
        <v>1880803.3</v>
      </c>
      <c r="W54" s="19">
        <v>7783003</v>
      </c>
      <c r="X54" s="19">
        <v>605</v>
      </c>
      <c r="Y54" s="17">
        <v>20635</v>
      </c>
      <c r="Z54" s="16">
        <v>406091.89679999999</v>
      </c>
      <c r="AA54" s="7">
        <v>5806</v>
      </c>
      <c r="AB54" s="29">
        <v>420</v>
      </c>
      <c r="AC54" s="7">
        <v>317</v>
      </c>
      <c r="AD54" s="11">
        <v>1810</v>
      </c>
      <c r="AE54" s="11">
        <v>228</v>
      </c>
      <c r="AF54" s="11">
        <v>752</v>
      </c>
      <c r="AG54" s="40">
        <v>16</v>
      </c>
      <c r="AH54" s="40">
        <v>1012.6</v>
      </c>
      <c r="AI54" s="40">
        <v>91.7</v>
      </c>
      <c r="AJ54" s="40">
        <v>50.300000000000004</v>
      </c>
      <c r="AK54" s="40">
        <v>146.542</v>
      </c>
      <c r="AL54" s="40">
        <v>85.116195321983895</v>
      </c>
      <c r="AM54" s="40">
        <v>359.1</v>
      </c>
      <c r="AN54" s="40">
        <v>396803.97299338999</v>
      </c>
    </row>
    <row r="55" spans="1:40" x14ac:dyDescent="0.3">
      <c r="A55" s="31" t="s">
        <v>91</v>
      </c>
      <c r="B55" s="6">
        <v>110.9</v>
      </c>
      <c r="C55" s="5">
        <v>159895</v>
      </c>
      <c r="D55" s="5">
        <v>293410.43599999999</v>
      </c>
      <c r="E55" s="6">
        <v>79.599999999999994</v>
      </c>
      <c r="F55" s="6">
        <v>2.8022917349941951</v>
      </c>
      <c r="G55" s="17">
        <v>924</v>
      </c>
      <c r="H55" s="6">
        <v>8.0109999999999992</v>
      </c>
      <c r="I55" s="17">
        <v>28738</v>
      </c>
      <c r="J55" s="9">
        <v>78.2</v>
      </c>
      <c r="K55" s="9">
        <v>14.2</v>
      </c>
      <c r="L55" s="6">
        <v>3</v>
      </c>
      <c r="M55" s="9">
        <v>4.5999999999999996</v>
      </c>
      <c r="N55" s="9">
        <v>3</v>
      </c>
      <c r="O55" s="9">
        <v>448.52175586879105</v>
      </c>
      <c r="P55" s="11">
        <v>26974</v>
      </c>
      <c r="Q55" s="11">
        <v>156714</v>
      </c>
      <c r="R55" s="9">
        <v>100.9</v>
      </c>
      <c r="S55" s="6">
        <v>103.7</v>
      </c>
      <c r="T55" s="30">
        <v>1515651102.2048872</v>
      </c>
      <c r="U55" s="9">
        <v>101.3</v>
      </c>
      <c r="V55" s="32">
        <v>835499.6</v>
      </c>
      <c r="W55" s="19">
        <v>4052271</v>
      </c>
      <c r="X55" s="19">
        <v>616</v>
      </c>
      <c r="Y55" s="17">
        <v>12027</v>
      </c>
      <c r="Z55" s="16">
        <v>147043.4515</v>
      </c>
      <c r="AA55" s="7">
        <v>6593</v>
      </c>
      <c r="AB55" s="29">
        <v>153</v>
      </c>
      <c r="AC55" s="7">
        <v>220</v>
      </c>
      <c r="AD55" s="11">
        <v>1206</v>
      </c>
      <c r="AE55" s="11">
        <v>63</v>
      </c>
      <c r="AF55" s="11">
        <v>255</v>
      </c>
      <c r="AG55" s="40">
        <v>22</v>
      </c>
      <c r="AH55" s="40">
        <v>934.6</v>
      </c>
      <c r="AI55" s="40">
        <v>76.2</v>
      </c>
      <c r="AJ55" s="40">
        <v>47.400000000000006</v>
      </c>
      <c r="AK55" s="40">
        <v>89.734999999999999</v>
      </c>
      <c r="AL55" s="40">
        <v>81.280230430608142</v>
      </c>
      <c r="AM55" s="40">
        <v>249.6</v>
      </c>
      <c r="AN55" s="40">
        <v>176090.52206244</v>
      </c>
    </row>
    <row r="56" spans="1:40" x14ac:dyDescent="0.3">
      <c r="A56" s="31" t="s">
        <v>92</v>
      </c>
      <c r="B56" s="6">
        <v>106.2</v>
      </c>
      <c r="C56" s="5">
        <v>98124</v>
      </c>
      <c r="D56" s="5">
        <v>121807.795</v>
      </c>
      <c r="E56" s="6">
        <v>81.2</v>
      </c>
      <c r="F56" s="6">
        <v>3.0957043311559929</v>
      </c>
      <c r="G56" s="17">
        <v>651</v>
      </c>
      <c r="H56" s="6">
        <v>5.9109999999999996</v>
      </c>
      <c r="I56" s="17">
        <v>29428</v>
      </c>
      <c r="J56" s="9">
        <v>80.8</v>
      </c>
      <c r="K56" s="9">
        <v>12.6</v>
      </c>
      <c r="L56" s="6">
        <v>2.2999999999999998</v>
      </c>
      <c r="M56" s="9">
        <v>4.3</v>
      </c>
      <c r="N56" s="9">
        <v>2.2999999999999998</v>
      </c>
      <c r="O56" s="9">
        <v>343.64414903815424</v>
      </c>
      <c r="P56" s="11">
        <v>20836</v>
      </c>
      <c r="Q56" s="11">
        <v>59520</v>
      </c>
      <c r="R56" s="9">
        <v>96.1</v>
      </c>
      <c r="S56" s="6">
        <v>112.4</v>
      </c>
      <c r="T56" s="30">
        <v>580477184.1084044</v>
      </c>
      <c r="U56" s="9">
        <v>101.5</v>
      </c>
      <c r="V56" s="32">
        <v>499567.7</v>
      </c>
      <c r="W56" s="19">
        <v>2318067</v>
      </c>
      <c r="X56" s="19">
        <v>756</v>
      </c>
      <c r="Y56" s="17">
        <v>12330</v>
      </c>
      <c r="Z56" s="16">
        <v>29470.6155</v>
      </c>
      <c r="AA56" s="7">
        <v>6641</v>
      </c>
      <c r="AB56" s="29">
        <v>104</v>
      </c>
      <c r="AC56" s="7">
        <v>175</v>
      </c>
      <c r="AD56" s="11">
        <v>884</v>
      </c>
      <c r="AE56" s="11">
        <v>72</v>
      </c>
      <c r="AF56" s="11">
        <v>521</v>
      </c>
      <c r="AG56" s="40">
        <v>13</v>
      </c>
      <c r="AH56" s="40">
        <v>763.5</v>
      </c>
      <c r="AI56" s="40">
        <v>82.100000000000009</v>
      </c>
      <c r="AJ56" s="40">
        <v>47.300000000000004</v>
      </c>
      <c r="AK56" s="40">
        <v>48.58</v>
      </c>
      <c r="AL56" s="40">
        <v>81.134344311577252</v>
      </c>
      <c r="AM56" s="40">
        <v>135</v>
      </c>
      <c r="AN56" s="40">
        <v>102996.56484427</v>
      </c>
    </row>
    <row r="57" spans="1:40" x14ac:dyDescent="0.3">
      <c r="A57" s="31" t="s">
        <v>93</v>
      </c>
      <c r="B57" s="6">
        <v>104.9</v>
      </c>
      <c r="C57" s="5">
        <v>164761</v>
      </c>
      <c r="D57" s="5">
        <v>516568.13799999998</v>
      </c>
      <c r="E57" s="6">
        <v>82.7</v>
      </c>
      <c r="F57" s="6">
        <v>2.111184123555216</v>
      </c>
      <c r="G57" s="17">
        <v>1687</v>
      </c>
      <c r="H57" s="6">
        <v>18.536000000000001</v>
      </c>
      <c r="I57" s="17">
        <v>36303</v>
      </c>
      <c r="J57" s="9">
        <v>85</v>
      </c>
      <c r="K57" s="9">
        <v>13.4</v>
      </c>
      <c r="L57" s="6">
        <v>1.7</v>
      </c>
      <c r="M57" s="9">
        <v>-0.1</v>
      </c>
      <c r="N57" s="9">
        <v>1.7</v>
      </c>
      <c r="O57" s="9">
        <v>322.59685751390253</v>
      </c>
      <c r="P57" s="11">
        <v>73112</v>
      </c>
      <c r="Q57" s="11">
        <v>505525</v>
      </c>
      <c r="R57" s="9">
        <v>104.7</v>
      </c>
      <c r="S57" s="6">
        <v>111.4</v>
      </c>
      <c r="T57" s="30">
        <v>2218914484.1356902</v>
      </c>
      <c r="U57" s="9">
        <v>97.8</v>
      </c>
      <c r="V57" s="33">
        <v>1668744</v>
      </c>
      <c r="W57" s="19">
        <v>7868549</v>
      </c>
      <c r="X57" s="19">
        <v>618</v>
      </c>
      <c r="Y57" s="17">
        <v>22725</v>
      </c>
      <c r="Z57" s="16">
        <v>335142.80330000003</v>
      </c>
      <c r="AA57" s="7">
        <v>5198</v>
      </c>
      <c r="AB57" s="29">
        <v>392</v>
      </c>
      <c r="AC57" s="7">
        <v>277</v>
      </c>
      <c r="AD57" s="11">
        <v>1536</v>
      </c>
      <c r="AE57" s="11">
        <v>137</v>
      </c>
      <c r="AF57" s="11">
        <v>415</v>
      </c>
      <c r="AG57" s="40">
        <v>10</v>
      </c>
      <c r="AH57" s="40">
        <v>935.40000000000009</v>
      </c>
      <c r="AI57" s="40">
        <v>71.400000000000006</v>
      </c>
      <c r="AJ57" s="40">
        <v>50.7</v>
      </c>
      <c r="AK57" s="40">
        <v>136.98599999999999</v>
      </c>
      <c r="AL57" s="40">
        <v>77.265317863649443</v>
      </c>
      <c r="AM57" s="40">
        <v>365.5</v>
      </c>
      <c r="AN57" s="40">
        <v>336659.66227192001</v>
      </c>
    </row>
    <row r="58" spans="1:40" x14ac:dyDescent="0.3">
      <c r="A58" s="31" t="s">
        <v>94</v>
      </c>
      <c r="B58" s="6">
        <v>124</v>
      </c>
      <c r="C58" s="5">
        <v>119638</v>
      </c>
      <c r="D58" s="5">
        <v>286539.59399999998</v>
      </c>
      <c r="E58" s="6">
        <v>81.8</v>
      </c>
      <c r="F58" s="6">
        <v>2.7943744598284912</v>
      </c>
      <c r="G58" s="17">
        <v>1243</v>
      </c>
      <c r="H58" s="6">
        <v>14.151999999999999</v>
      </c>
      <c r="I58" s="17">
        <v>27613</v>
      </c>
      <c r="J58" s="9">
        <v>82.8</v>
      </c>
      <c r="K58" s="9">
        <v>13.6</v>
      </c>
      <c r="L58" s="6">
        <v>1.5</v>
      </c>
      <c r="M58" s="9">
        <v>2.1</v>
      </c>
      <c r="N58" s="9">
        <v>1.5</v>
      </c>
      <c r="O58" s="9">
        <v>332.44520395461439</v>
      </c>
      <c r="P58" s="11">
        <v>38484</v>
      </c>
      <c r="Q58" s="11">
        <v>95466</v>
      </c>
      <c r="R58" s="9">
        <v>100.9</v>
      </c>
      <c r="S58" s="6">
        <v>104.9</v>
      </c>
      <c r="T58" s="30">
        <v>1111735405.4809883</v>
      </c>
      <c r="U58" s="9">
        <v>105.3</v>
      </c>
      <c r="V58" s="32">
        <v>1015692.6</v>
      </c>
      <c r="W58" s="19">
        <v>3984906</v>
      </c>
      <c r="X58" s="19">
        <v>481</v>
      </c>
      <c r="Y58" s="17">
        <v>13945</v>
      </c>
      <c r="Z58" s="16">
        <v>20722.072800000002</v>
      </c>
      <c r="AA58" s="7">
        <v>5728</v>
      </c>
      <c r="AB58" s="29">
        <v>124</v>
      </c>
      <c r="AC58" s="7">
        <v>266</v>
      </c>
      <c r="AD58" s="11">
        <v>1379</v>
      </c>
      <c r="AE58" s="11">
        <v>85</v>
      </c>
      <c r="AF58" s="11">
        <v>461</v>
      </c>
      <c r="AG58" s="40">
        <v>13</v>
      </c>
      <c r="AH58" s="40">
        <v>734.80000000000007</v>
      </c>
      <c r="AI58" s="40">
        <v>93</v>
      </c>
      <c r="AJ58" s="40">
        <v>50.7</v>
      </c>
      <c r="AK58" s="40">
        <v>86.213999999999999</v>
      </c>
      <c r="AL58" s="40">
        <v>71.884536495072297</v>
      </c>
      <c r="AM58" s="40">
        <v>256.8</v>
      </c>
      <c r="AN58" s="40">
        <v>203372.12590307998</v>
      </c>
    </row>
    <row r="59" spans="1:40" x14ac:dyDescent="0.3">
      <c r="A59" s="31" t="s">
        <v>95</v>
      </c>
      <c r="B59" s="6">
        <v>102.3</v>
      </c>
      <c r="C59" s="5">
        <v>102621</v>
      </c>
      <c r="D59" s="5">
        <v>120773.67200000001</v>
      </c>
      <c r="E59" s="6">
        <v>80.599999999999994</v>
      </c>
      <c r="F59" s="6">
        <v>3.0934894392245154</v>
      </c>
      <c r="G59" s="17">
        <v>605</v>
      </c>
      <c r="H59" s="6">
        <v>6.7210000000000001</v>
      </c>
      <c r="I59" s="17">
        <v>28003</v>
      </c>
      <c r="J59" s="9">
        <v>78.3</v>
      </c>
      <c r="K59" s="9">
        <v>12.7</v>
      </c>
      <c r="L59" s="6">
        <v>2.4</v>
      </c>
      <c r="M59" s="9">
        <v>6.6</v>
      </c>
      <c r="N59" s="9">
        <v>2.4</v>
      </c>
      <c r="O59" s="9">
        <v>326.98574841701185</v>
      </c>
      <c r="P59" s="11">
        <v>22579</v>
      </c>
      <c r="Q59" s="11">
        <v>28189</v>
      </c>
      <c r="R59" s="9">
        <v>100.6</v>
      </c>
      <c r="S59" s="6">
        <v>115.1</v>
      </c>
      <c r="T59" s="30">
        <v>526812164.82289398</v>
      </c>
      <c r="U59" s="9">
        <v>99</v>
      </c>
      <c r="V59" s="32">
        <v>493078.5</v>
      </c>
      <c r="W59" s="19">
        <v>1478469</v>
      </c>
      <c r="X59" s="19">
        <v>677</v>
      </c>
      <c r="Y59" s="17">
        <v>10041</v>
      </c>
      <c r="Z59" s="16">
        <v>62986.263399999996</v>
      </c>
      <c r="AA59" s="7">
        <v>6888</v>
      </c>
      <c r="AB59" s="29">
        <v>84</v>
      </c>
      <c r="AC59" s="7">
        <v>189</v>
      </c>
      <c r="AD59" s="11">
        <v>727</v>
      </c>
      <c r="AE59" s="11">
        <v>51</v>
      </c>
      <c r="AF59" s="11">
        <v>565</v>
      </c>
      <c r="AG59" s="40">
        <v>15</v>
      </c>
      <c r="AH59" s="40">
        <v>722.7</v>
      </c>
      <c r="AI59" s="40">
        <v>82.600000000000009</v>
      </c>
      <c r="AJ59" s="40">
        <v>44.2</v>
      </c>
      <c r="AK59" s="40">
        <v>51.128999999999998</v>
      </c>
      <c r="AL59" s="40">
        <v>79.677419354838705</v>
      </c>
      <c r="AM59" s="40">
        <v>131.1</v>
      </c>
      <c r="AN59" s="40">
        <v>106720.95270416999</v>
      </c>
    </row>
    <row r="60" spans="1:40" x14ac:dyDescent="0.3">
      <c r="A60" s="31" t="s">
        <v>96</v>
      </c>
      <c r="B60" s="6">
        <v>115</v>
      </c>
      <c r="C60" s="5">
        <v>94054</v>
      </c>
      <c r="D60" s="5">
        <v>71226.873999999996</v>
      </c>
      <c r="E60" s="6">
        <v>77.3</v>
      </c>
      <c r="F60" s="6">
        <v>4.7867580675803598</v>
      </c>
      <c r="G60" s="17">
        <v>353</v>
      </c>
      <c r="H60" s="6">
        <v>2.8149999999999999</v>
      </c>
      <c r="I60" s="17">
        <v>26094</v>
      </c>
      <c r="J60" s="9">
        <v>74.900000000000006</v>
      </c>
      <c r="K60" s="9">
        <v>13.8</v>
      </c>
      <c r="L60" s="6">
        <v>2.9</v>
      </c>
      <c r="M60" s="9">
        <v>8.4</v>
      </c>
      <c r="N60" s="9">
        <v>2.9</v>
      </c>
      <c r="O60" s="9">
        <v>430.73325170451079</v>
      </c>
      <c r="P60" s="11">
        <v>11058</v>
      </c>
      <c r="Q60" s="11">
        <v>31728</v>
      </c>
      <c r="R60" s="9">
        <v>114.9</v>
      </c>
      <c r="S60" s="6">
        <v>117.1</v>
      </c>
      <c r="T60" s="30">
        <v>302802059.23635358</v>
      </c>
      <c r="U60" s="9">
        <v>107.7</v>
      </c>
      <c r="V60" s="32">
        <v>289796.59999999998</v>
      </c>
      <c r="W60" s="19">
        <v>1352634</v>
      </c>
      <c r="X60" s="19">
        <v>464</v>
      </c>
      <c r="Y60" s="17">
        <v>4238.3421052631575</v>
      </c>
      <c r="Z60" s="16">
        <v>7029.5915000000005</v>
      </c>
      <c r="AA60" s="7">
        <v>9231</v>
      </c>
      <c r="AB60" s="29">
        <v>65</v>
      </c>
      <c r="AC60" s="7">
        <v>171</v>
      </c>
      <c r="AD60" s="11">
        <v>713</v>
      </c>
      <c r="AE60" s="11">
        <v>15</v>
      </c>
      <c r="AF60" s="11">
        <v>425</v>
      </c>
      <c r="AG60" s="40">
        <v>23</v>
      </c>
      <c r="AH60" s="40">
        <v>1144.9000000000001</v>
      </c>
      <c r="AI60" s="40">
        <v>88.9</v>
      </c>
      <c r="AJ60" s="40">
        <v>31.700000000000003</v>
      </c>
      <c r="AK60" s="40">
        <v>34.902000000000001</v>
      </c>
      <c r="AL60" s="40">
        <v>76.025964973425104</v>
      </c>
      <c r="AM60" s="40">
        <v>102.4</v>
      </c>
      <c r="AN60" s="40">
        <v>83628.777546740006</v>
      </c>
    </row>
    <row r="61" spans="1:40" x14ac:dyDescent="0.3">
      <c r="A61" s="31" t="s">
        <v>97</v>
      </c>
      <c r="B61" s="6">
        <v>116.1</v>
      </c>
      <c r="C61" s="5">
        <v>170260</v>
      </c>
      <c r="D61" s="5">
        <v>720356.43299999996</v>
      </c>
      <c r="E61" s="6">
        <v>80.599999999999994</v>
      </c>
      <c r="F61" s="6">
        <v>2.4506007363832674</v>
      </c>
      <c r="G61" s="17">
        <v>2134</v>
      </c>
      <c r="H61" s="6">
        <v>22.945</v>
      </c>
      <c r="I61" s="17">
        <v>42728</v>
      </c>
      <c r="J61" s="9">
        <v>80</v>
      </c>
      <c r="K61" s="9">
        <v>14.1</v>
      </c>
      <c r="L61" s="6">
        <v>2.9</v>
      </c>
      <c r="M61" s="9">
        <v>3</v>
      </c>
      <c r="N61" s="9">
        <v>2.9</v>
      </c>
      <c r="O61" s="9">
        <v>459.81938075091853</v>
      </c>
      <c r="P61" s="11">
        <v>115234</v>
      </c>
      <c r="Q61" s="11">
        <v>686831</v>
      </c>
      <c r="R61" s="9">
        <v>100.4</v>
      </c>
      <c r="S61" s="6">
        <v>111.8</v>
      </c>
      <c r="T61" s="30">
        <v>3333388728.1789017</v>
      </c>
      <c r="U61" s="9">
        <v>99.6</v>
      </c>
      <c r="V61" s="32">
        <v>2650093.7999999998</v>
      </c>
      <c r="W61" s="19">
        <v>12467656</v>
      </c>
      <c r="X61" s="19">
        <v>771</v>
      </c>
      <c r="Y61" s="17">
        <v>47492</v>
      </c>
      <c r="Z61" s="16">
        <v>290994.1764</v>
      </c>
      <c r="AA61" s="7">
        <v>3656</v>
      </c>
      <c r="AB61" s="29">
        <v>454</v>
      </c>
      <c r="AC61" s="7">
        <v>325</v>
      </c>
      <c r="AD61" s="11">
        <v>2710</v>
      </c>
      <c r="AE61" s="11">
        <v>275</v>
      </c>
      <c r="AF61" s="11">
        <v>589</v>
      </c>
      <c r="AG61" s="40">
        <v>23</v>
      </c>
      <c r="AH61" s="40">
        <v>921.80000000000007</v>
      </c>
      <c r="AI61" s="40">
        <v>86.600000000000009</v>
      </c>
      <c r="AJ61" s="40">
        <v>45.400000000000006</v>
      </c>
      <c r="AK61" s="40">
        <v>227.88900000000001</v>
      </c>
      <c r="AL61" s="40">
        <v>82.699419007631647</v>
      </c>
      <c r="AM61" s="40">
        <v>563.70000000000005</v>
      </c>
      <c r="AN61" s="40">
        <v>537255.23525021994</v>
      </c>
    </row>
    <row r="62" spans="1:40" x14ac:dyDescent="0.3">
      <c r="A62" s="31" t="s">
        <v>98</v>
      </c>
      <c r="B62" s="6">
        <v>99.9</v>
      </c>
      <c r="C62" s="5">
        <v>867099</v>
      </c>
      <c r="D62" s="5">
        <v>3356556.4190000002</v>
      </c>
      <c r="E62" s="6">
        <v>80.8</v>
      </c>
      <c r="F62" s="6">
        <v>2.3225036202551412</v>
      </c>
      <c r="G62" s="17">
        <v>1975</v>
      </c>
      <c r="H62" s="6">
        <v>12.9</v>
      </c>
      <c r="I62" s="17">
        <v>44894</v>
      </c>
      <c r="J62" s="9">
        <v>64.7</v>
      </c>
      <c r="K62" s="9">
        <v>15.4</v>
      </c>
      <c r="L62" s="6">
        <v>10</v>
      </c>
      <c r="M62" s="9">
        <v>9.9</v>
      </c>
      <c r="N62" s="9">
        <v>10</v>
      </c>
      <c r="O62" s="9">
        <v>371.10671327233473</v>
      </c>
      <c r="P62" s="11">
        <v>72729</v>
      </c>
      <c r="Q62" s="11">
        <v>3682667</v>
      </c>
      <c r="R62" s="9">
        <v>96.8</v>
      </c>
      <c r="S62" s="6">
        <v>99.2</v>
      </c>
      <c r="T62" s="30">
        <v>11698269465.679173</v>
      </c>
      <c r="U62" s="9">
        <v>101.5</v>
      </c>
      <c r="V62" s="32">
        <v>2606752.5</v>
      </c>
      <c r="W62" s="19">
        <v>45295786</v>
      </c>
      <c r="X62" s="19">
        <v>964</v>
      </c>
      <c r="Y62" s="17">
        <v>53939.42105263158</v>
      </c>
      <c r="Z62" s="16">
        <v>143734.41450000001</v>
      </c>
      <c r="AA62" s="7">
        <v>4066</v>
      </c>
      <c r="AB62" s="29">
        <v>530</v>
      </c>
      <c r="AC62" s="7">
        <v>200</v>
      </c>
      <c r="AD62" s="11">
        <v>2371</v>
      </c>
      <c r="AE62" s="11">
        <v>288</v>
      </c>
      <c r="AF62" s="11">
        <v>809</v>
      </c>
      <c r="AG62" s="40">
        <v>17</v>
      </c>
      <c r="AH62" s="40">
        <v>890.90000000000009</v>
      </c>
      <c r="AI62" s="40">
        <v>73.2</v>
      </c>
      <c r="AJ62" s="40">
        <v>60.400000000000006</v>
      </c>
      <c r="AK62" s="40">
        <v>242.40299999999999</v>
      </c>
      <c r="AL62" s="40">
        <v>83.580036203775535</v>
      </c>
      <c r="AM62" s="40">
        <v>572.5</v>
      </c>
      <c r="AN62" s="40">
        <v>353591.31241303997</v>
      </c>
    </row>
    <row r="63" spans="1:40" ht="27.6" x14ac:dyDescent="0.3">
      <c r="A63" s="35" t="s">
        <v>99</v>
      </c>
      <c r="B63" s="6">
        <v>107.5</v>
      </c>
      <c r="C63" s="5">
        <v>889927</v>
      </c>
      <c r="D63" s="5">
        <v>1552805.983</v>
      </c>
      <c r="E63" s="6">
        <v>83.2</v>
      </c>
      <c r="F63" s="6">
        <v>1.8474975012764334</v>
      </c>
      <c r="G63" s="17">
        <v>926</v>
      </c>
      <c r="H63" s="6">
        <v>3.9710000000000001</v>
      </c>
      <c r="I63" s="17">
        <v>43555</v>
      </c>
      <c r="J63" s="9">
        <v>60</v>
      </c>
      <c r="K63" s="9">
        <v>15</v>
      </c>
      <c r="L63" s="6">
        <v>11.4</v>
      </c>
      <c r="M63" s="9">
        <v>13.6</v>
      </c>
      <c r="N63" s="9">
        <v>11.4</v>
      </c>
      <c r="O63" s="9">
        <v>386.72866556855627</v>
      </c>
      <c r="P63" s="11">
        <v>28116</v>
      </c>
      <c r="Q63" s="11">
        <v>2269961</v>
      </c>
      <c r="R63" s="9">
        <v>97.5</v>
      </c>
      <c r="S63" s="6">
        <v>98.5</v>
      </c>
      <c r="T63" s="30">
        <v>5864805670.7871037</v>
      </c>
      <c r="U63" s="9">
        <v>102.6</v>
      </c>
      <c r="V63" s="32">
        <v>1136102.3</v>
      </c>
      <c r="W63" s="19">
        <v>20174851</v>
      </c>
      <c r="X63" s="19">
        <v>547</v>
      </c>
      <c r="Y63" s="17">
        <v>13874</v>
      </c>
      <c r="Z63" s="16">
        <v>67670.027400000006</v>
      </c>
      <c r="AA63" s="7">
        <v>3069</v>
      </c>
      <c r="AB63" s="29">
        <v>179</v>
      </c>
      <c r="AC63" s="7">
        <v>162</v>
      </c>
      <c r="AD63" s="11">
        <v>1002</v>
      </c>
      <c r="AE63" s="11">
        <v>149</v>
      </c>
      <c r="AF63" s="11">
        <v>278</v>
      </c>
      <c r="AG63" s="40">
        <v>14</v>
      </c>
      <c r="AH63" s="40">
        <v>878.90000000000009</v>
      </c>
      <c r="AI63" s="40">
        <v>71.3</v>
      </c>
      <c r="AJ63" s="40">
        <v>58.2</v>
      </c>
      <c r="AK63" s="40">
        <v>100.086</v>
      </c>
      <c r="AL63" s="40">
        <v>76.852669487295657</v>
      </c>
      <c r="AM63" s="40">
        <v>240.9</v>
      </c>
      <c r="AN63" s="40">
        <v>505096.74637468997</v>
      </c>
    </row>
    <row r="64" spans="1:40" ht="27.6" x14ac:dyDescent="0.3">
      <c r="A64" s="35" t="s">
        <v>100</v>
      </c>
      <c r="B64" s="6">
        <v>97.1</v>
      </c>
      <c r="C64" s="5">
        <v>2867191</v>
      </c>
      <c r="D64" s="5">
        <v>1474235.2350000001</v>
      </c>
      <c r="E64" s="6">
        <v>84.1</v>
      </c>
      <c r="F64" s="6">
        <v>1.5377183980293343</v>
      </c>
      <c r="G64" s="17">
        <v>300</v>
      </c>
      <c r="H64" s="6">
        <v>2.5000000000000001E-2</v>
      </c>
      <c r="I64" s="17">
        <v>56231</v>
      </c>
      <c r="J64" s="9">
        <v>40.299999999999997</v>
      </c>
      <c r="K64" s="9">
        <v>15</v>
      </c>
      <c r="L64" s="6">
        <v>7.8</v>
      </c>
      <c r="M64" s="9">
        <v>36.9</v>
      </c>
      <c r="N64" s="9">
        <v>7.8</v>
      </c>
      <c r="O64" s="9">
        <v>357.30676796650903</v>
      </c>
      <c r="P64" s="11">
        <v>8116</v>
      </c>
      <c r="Q64" s="11">
        <v>1077517</v>
      </c>
      <c r="R64" s="9">
        <v>95.7</v>
      </c>
      <c r="S64" s="6">
        <v>97.1</v>
      </c>
      <c r="T64" s="30">
        <v>4139879834.8802719</v>
      </c>
      <c r="U64" s="9">
        <v>100.2</v>
      </c>
      <c r="V64" s="32">
        <v>438370.1</v>
      </c>
      <c r="W64" s="19">
        <v>20021075</v>
      </c>
      <c r="X64" s="19">
        <v>564</v>
      </c>
      <c r="Y64" s="17">
        <v>5132.4210526315792</v>
      </c>
      <c r="Z64" s="16">
        <v>2198.3163999999997</v>
      </c>
      <c r="AA64" s="7">
        <v>2658</v>
      </c>
      <c r="AB64" s="29">
        <v>39</v>
      </c>
      <c r="AC64" s="17">
        <v>105</v>
      </c>
      <c r="AD64" s="11">
        <v>475</v>
      </c>
      <c r="AE64" s="11">
        <v>71</v>
      </c>
      <c r="AF64" s="11">
        <v>490</v>
      </c>
      <c r="AG64" s="40">
        <v>19</v>
      </c>
      <c r="AH64" s="40">
        <v>1428.9</v>
      </c>
      <c r="AI64" s="40">
        <v>79.900000000000006</v>
      </c>
      <c r="AJ64" s="40">
        <v>69.900000000000006</v>
      </c>
      <c r="AK64" s="40">
        <v>36.640999999999998</v>
      </c>
      <c r="AL64" s="40">
        <v>89.678887855499539</v>
      </c>
      <c r="AM64" s="40">
        <v>82</v>
      </c>
      <c r="AN64" s="40">
        <v>419493.32846902002</v>
      </c>
    </row>
    <row r="65" spans="1:40" x14ac:dyDescent="0.3">
      <c r="A65" s="31" t="s">
        <v>101</v>
      </c>
      <c r="B65" s="6">
        <v>107.8</v>
      </c>
      <c r="C65" s="5">
        <v>131139</v>
      </c>
      <c r="D65" s="5">
        <v>446065.02799999999</v>
      </c>
      <c r="E65" s="6">
        <v>84.7</v>
      </c>
      <c r="F65" s="6">
        <v>2.4935507184010595</v>
      </c>
      <c r="G65" s="17">
        <v>1844</v>
      </c>
      <c r="H65" s="6">
        <v>15.9</v>
      </c>
      <c r="I65" s="17">
        <v>31694</v>
      </c>
      <c r="J65" s="9">
        <v>79.8</v>
      </c>
      <c r="K65" s="9">
        <v>14.6</v>
      </c>
      <c r="L65" s="6">
        <v>3.1</v>
      </c>
      <c r="M65" s="9">
        <v>2.5</v>
      </c>
      <c r="N65" s="9">
        <v>3.1</v>
      </c>
      <c r="O65" s="9">
        <v>393.22568656910687</v>
      </c>
      <c r="P65" s="11">
        <v>71956</v>
      </c>
      <c r="Q65" s="11">
        <v>448871</v>
      </c>
      <c r="R65" s="9">
        <v>100.1</v>
      </c>
      <c r="S65" s="6">
        <v>110.9</v>
      </c>
      <c r="T65" s="30">
        <v>2230181745.1747055</v>
      </c>
      <c r="U65" s="9">
        <v>100.3</v>
      </c>
      <c r="V65" s="32">
        <v>1580263.1</v>
      </c>
      <c r="W65" s="19">
        <v>6987416</v>
      </c>
      <c r="X65" s="19">
        <v>615</v>
      </c>
      <c r="Y65" s="17">
        <v>27696.63157894737</v>
      </c>
      <c r="Z65" s="16">
        <v>432180.10739999998</v>
      </c>
      <c r="AA65" s="7">
        <v>4393</v>
      </c>
      <c r="AB65" s="29">
        <v>385</v>
      </c>
      <c r="AC65" s="7">
        <v>225</v>
      </c>
      <c r="AD65" s="11">
        <v>1916</v>
      </c>
      <c r="AE65" s="11">
        <v>101</v>
      </c>
      <c r="AF65" s="11">
        <v>221</v>
      </c>
      <c r="AG65" s="40">
        <v>17</v>
      </c>
      <c r="AH65" s="40">
        <v>939.30000000000007</v>
      </c>
      <c r="AI65" s="40">
        <v>73.400000000000006</v>
      </c>
      <c r="AJ65" s="40">
        <v>43.2</v>
      </c>
      <c r="AK65" s="40">
        <v>182.85400000000001</v>
      </c>
      <c r="AL65" s="40">
        <v>87.34618618159584</v>
      </c>
      <c r="AM65" s="40">
        <v>440.3</v>
      </c>
      <c r="AN65" s="40">
        <v>343907.73001399997</v>
      </c>
    </row>
    <row r="66" spans="1:40" x14ac:dyDescent="0.3">
      <c r="A66" s="31" t="s">
        <v>102</v>
      </c>
      <c r="B66" s="6">
        <v>129.19999999999999</v>
      </c>
      <c r="C66" s="5">
        <v>231177</v>
      </c>
      <c r="D66" s="5">
        <v>48724.555999999997</v>
      </c>
      <c r="E66" s="6">
        <v>67.2</v>
      </c>
      <c r="F66" s="6">
        <v>9.2169682506566843</v>
      </c>
      <c r="G66" s="17">
        <v>92</v>
      </c>
      <c r="H66" s="6">
        <v>0.40400000000000003</v>
      </c>
      <c r="I66" s="17">
        <v>26868</v>
      </c>
      <c r="J66" s="9">
        <v>77.2</v>
      </c>
      <c r="K66" s="9">
        <v>12.9</v>
      </c>
      <c r="L66" s="6">
        <v>3.1</v>
      </c>
      <c r="M66" s="9">
        <v>6.8</v>
      </c>
      <c r="N66" s="9">
        <v>3.1</v>
      </c>
      <c r="O66" s="9">
        <v>267.33565819751857</v>
      </c>
      <c r="P66" s="11">
        <v>4544</v>
      </c>
      <c r="Q66" s="11">
        <v>64928</v>
      </c>
      <c r="R66" s="9">
        <v>121.1</v>
      </c>
      <c r="S66" s="6">
        <v>109.4</v>
      </c>
      <c r="T66" s="30">
        <v>87538470.984867439</v>
      </c>
      <c r="U66" s="9">
        <v>109.4</v>
      </c>
      <c r="V66" s="32">
        <v>95390.5</v>
      </c>
      <c r="W66" s="19">
        <v>271737</v>
      </c>
      <c r="X66" s="19">
        <v>903</v>
      </c>
      <c r="Y66" s="17">
        <v>2043.7105263157894</v>
      </c>
      <c r="Z66" s="16">
        <v>593.71699999999998</v>
      </c>
      <c r="AA66" s="7">
        <v>6933</v>
      </c>
      <c r="AB66" s="29">
        <v>39</v>
      </c>
      <c r="AC66" s="7">
        <v>135</v>
      </c>
      <c r="AD66" s="11">
        <v>150</v>
      </c>
      <c r="AE66" s="11">
        <v>2</v>
      </c>
      <c r="AF66" s="11">
        <v>345</v>
      </c>
      <c r="AG66" s="40">
        <v>29</v>
      </c>
      <c r="AH66" s="40">
        <v>921.1</v>
      </c>
      <c r="AI66" s="40">
        <v>74.8</v>
      </c>
      <c r="AJ66" s="40">
        <v>45.7</v>
      </c>
      <c r="AK66" s="40">
        <v>13.307</v>
      </c>
      <c r="AL66" s="40">
        <v>76.914629212184266</v>
      </c>
      <c r="AM66" s="40">
        <v>39.5</v>
      </c>
      <c r="AN66" s="40">
        <v>37732.916745199997</v>
      </c>
    </row>
    <row r="67" spans="1:40" x14ac:dyDescent="0.3">
      <c r="A67" s="31" t="s">
        <v>103</v>
      </c>
      <c r="B67" s="6">
        <v>103.7</v>
      </c>
      <c r="C67" s="5">
        <v>75191</v>
      </c>
      <c r="D67" s="5">
        <v>25369.912</v>
      </c>
      <c r="E67" s="6">
        <v>57.9</v>
      </c>
      <c r="F67" s="6">
        <v>7.003365289140552</v>
      </c>
      <c r="G67" s="17">
        <v>123</v>
      </c>
      <c r="H67" s="6">
        <v>1.0469999999999999</v>
      </c>
      <c r="I67" s="17">
        <v>22219</v>
      </c>
      <c r="J67" s="9">
        <v>76.8</v>
      </c>
      <c r="K67" s="9">
        <v>18.100000000000001</v>
      </c>
      <c r="L67" s="6">
        <v>0.8</v>
      </c>
      <c r="M67" s="9">
        <v>4.3</v>
      </c>
      <c r="N67" s="9">
        <v>0.8</v>
      </c>
      <c r="O67" s="9">
        <v>175.03792098215342</v>
      </c>
      <c r="P67" s="11">
        <v>3773</v>
      </c>
      <c r="Q67" s="11">
        <v>6091</v>
      </c>
      <c r="R67" s="9">
        <v>98.4</v>
      </c>
      <c r="S67" s="6">
        <v>97.4</v>
      </c>
      <c r="T67" s="30">
        <v>103250948.53716107</v>
      </c>
      <c r="U67" s="9">
        <v>108.9</v>
      </c>
      <c r="V67" s="32">
        <v>113899.7</v>
      </c>
      <c r="W67" s="19">
        <v>263576</v>
      </c>
      <c r="X67" s="19">
        <v>512</v>
      </c>
      <c r="Y67" s="17">
        <v>2418</v>
      </c>
      <c r="Z67" s="16">
        <v>170.1567</v>
      </c>
      <c r="AA67" s="7">
        <v>8732</v>
      </c>
      <c r="AB67" s="29">
        <v>11</v>
      </c>
      <c r="AC67" s="7">
        <v>420</v>
      </c>
      <c r="AD67" s="11">
        <v>259</v>
      </c>
      <c r="AE67" s="11">
        <v>8</v>
      </c>
      <c r="AF67" s="11">
        <v>158</v>
      </c>
      <c r="AG67" s="40">
        <v>32</v>
      </c>
      <c r="AH67" s="40">
        <v>658.40000000000009</v>
      </c>
      <c r="AI67" s="40">
        <v>103.7</v>
      </c>
      <c r="AJ67" s="40">
        <v>51.300000000000004</v>
      </c>
      <c r="AK67" s="40">
        <v>26.25</v>
      </c>
      <c r="AL67" s="40">
        <v>68.99542658886611</v>
      </c>
      <c r="AM67" s="40">
        <v>72.900000000000006</v>
      </c>
      <c r="AN67" s="40">
        <v>60770.002365790002</v>
      </c>
    </row>
    <row r="68" spans="1:40" x14ac:dyDescent="0.3">
      <c r="A68" s="31" t="s">
        <v>104</v>
      </c>
      <c r="B68" s="6">
        <v>103</v>
      </c>
      <c r="C68" s="5">
        <v>113120</v>
      </c>
      <c r="D68" s="5">
        <v>59863.447</v>
      </c>
      <c r="E68" s="6">
        <v>80.2</v>
      </c>
      <c r="F68" s="6">
        <v>2.0898382459963867</v>
      </c>
      <c r="G68" s="17">
        <v>265</v>
      </c>
      <c r="H68" s="6">
        <v>1.468</v>
      </c>
      <c r="I68" s="17">
        <v>30215</v>
      </c>
      <c r="J68" s="9">
        <v>86.3</v>
      </c>
      <c r="K68" s="9">
        <v>14.7</v>
      </c>
      <c r="L68" s="6">
        <v>3.9</v>
      </c>
      <c r="M68" s="9">
        <v>-4.9000000000000004</v>
      </c>
      <c r="N68" s="9">
        <v>3.9</v>
      </c>
      <c r="O68" s="9">
        <v>447.37634306811191</v>
      </c>
      <c r="P68" s="11">
        <v>7822</v>
      </c>
      <c r="Q68" s="11">
        <v>28730</v>
      </c>
      <c r="R68" s="9">
        <v>94.3</v>
      </c>
      <c r="S68" s="6">
        <v>105.2</v>
      </c>
      <c r="T68" s="30">
        <v>321862093.11526281</v>
      </c>
      <c r="U68" s="9">
        <v>97.7</v>
      </c>
      <c r="V68" s="32">
        <v>231481.9</v>
      </c>
      <c r="W68" s="19">
        <v>1012179</v>
      </c>
      <c r="X68" s="19">
        <v>704</v>
      </c>
      <c r="Y68" s="17">
        <v>4393</v>
      </c>
      <c r="Z68" s="16">
        <v>4183.7965000000004</v>
      </c>
      <c r="AA68" s="7">
        <v>5661</v>
      </c>
      <c r="AB68" s="29">
        <v>51</v>
      </c>
      <c r="AC68" s="7">
        <v>258</v>
      </c>
      <c r="AD68" s="11">
        <v>282</v>
      </c>
      <c r="AE68" s="11">
        <v>30</v>
      </c>
      <c r="AF68" s="11">
        <v>695</v>
      </c>
      <c r="AG68" s="40">
        <v>15</v>
      </c>
      <c r="AH68" s="40">
        <v>884.40000000000009</v>
      </c>
      <c r="AI68" s="40">
        <v>64</v>
      </c>
      <c r="AJ68" s="40">
        <v>40.1</v>
      </c>
      <c r="AK68" s="40">
        <v>28.170999999999999</v>
      </c>
      <c r="AL68" s="40">
        <v>82.89489171374764</v>
      </c>
      <c r="AM68" s="40">
        <v>76.599999999999994</v>
      </c>
      <c r="AN68" s="40">
        <v>57833.430040539999</v>
      </c>
    </row>
    <row r="69" spans="1:40" x14ac:dyDescent="0.3">
      <c r="A69" s="31" t="s">
        <v>105</v>
      </c>
      <c r="B69" s="6">
        <v>109.6</v>
      </c>
      <c r="C69" s="5">
        <v>84757</v>
      </c>
      <c r="D69" s="5">
        <v>179949.47700000001</v>
      </c>
      <c r="E69" s="6">
        <v>83.3</v>
      </c>
      <c r="F69" s="6">
        <v>3.6984305592184126</v>
      </c>
      <c r="G69" s="17">
        <v>1138</v>
      </c>
      <c r="H69" s="6">
        <v>8.7609999999999992</v>
      </c>
      <c r="I69" s="17">
        <v>28083</v>
      </c>
      <c r="J69" s="9">
        <v>77.099999999999994</v>
      </c>
      <c r="K69" s="9">
        <v>12.5</v>
      </c>
      <c r="L69" s="6">
        <v>2.7</v>
      </c>
      <c r="M69" s="9">
        <v>7.7</v>
      </c>
      <c r="N69" s="9">
        <v>2.7</v>
      </c>
      <c r="O69" s="9">
        <v>368.1435516719078</v>
      </c>
      <c r="P69" s="11">
        <v>40285</v>
      </c>
      <c r="Q69" s="11">
        <v>103906</v>
      </c>
      <c r="R69" s="9">
        <v>96.2</v>
      </c>
      <c r="S69" s="6">
        <v>107.2</v>
      </c>
      <c r="T69" s="30">
        <v>911903478.29243517</v>
      </c>
      <c r="U69" s="9">
        <v>102.2</v>
      </c>
      <c r="V69" s="32">
        <v>885848.2</v>
      </c>
      <c r="W69" s="19">
        <v>2739361</v>
      </c>
      <c r="X69" s="19">
        <v>445</v>
      </c>
      <c r="Y69" s="17">
        <v>11360</v>
      </c>
      <c r="Z69" s="16">
        <v>12599.5106</v>
      </c>
      <c r="AA69" s="7">
        <v>6028</v>
      </c>
      <c r="AB69" s="29">
        <v>186</v>
      </c>
      <c r="AC69" s="7">
        <v>234</v>
      </c>
      <c r="AD69" s="11">
        <v>1723</v>
      </c>
      <c r="AE69" s="11">
        <v>100</v>
      </c>
      <c r="AF69" s="11">
        <v>228</v>
      </c>
      <c r="AG69" s="40">
        <v>15</v>
      </c>
      <c r="AH69" s="40">
        <v>1041.5</v>
      </c>
      <c r="AI69" s="40">
        <v>95.800000000000011</v>
      </c>
      <c r="AJ69" s="40">
        <v>45.7</v>
      </c>
      <c r="AK69" s="40">
        <v>90.367999999999995</v>
      </c>
      <c r="AL69" s="40">
        <v>71.673421476329082</v>
      </c>
      <c r="AM69" s="40">
        <v>286.89999999999998</v>
      </c>
      <c r="AN69" s="40">
        <v>192389.34838360999</v>
      </c>
    </row>
    <row r="70" spans="1:40" x14ac:dyDescent="0.3">
      <c r="A70" s="31" t="s">
        <v>106</v>
      </c>
      <c r="B70" s="6">
        <v>109.6</v>
      </c>
      <c r="C70" s="5">
        <v>325512</v>
      </c>
      <c r="D70" s="5">
        <v>926353.85239000013</v>
      </c>
      <c r="E70" s="6">
        <v>77.3</v>
      </c>
      <c r="F70" s="6">
        <v>2.0744202425403397</v>
      </c>
      <c r="G70" s="17">
        <v>1423</v>
      </c>
      <c r="H70" s="6">
        <v>11.164</v>
      </c>
      <c r="I70" s="17">
        <v>36883</v>
      </c>
      <c r="J70" s="9">
        <v>73.2</v>
      </c>
      <c r="K70" s="9">
        <v>14.7</v>
      </c>
      <c r="L70" s="6">
        <v>4.5999999999999996</v>
      </c>
      <c r="M70" s="9">
        <v>7.5</v>
      </c>
      <c r="N70" s="9">
        <v>4.5999999999999996</v>
      </c>
      <c r="O70" s="9">
        <v>332.19646395794979</v>
      </c>
      <c r="P70" s="11">
        <v>59011</v>
      </c>
      <c r="Q70" s="11">
        <v>1147040</v>
      </c>
      <c r="R70" s="9">
        <v>95</v>
      </c>
      <c r="S70" s="6">
        <v>94.2</v>
      </c>
      <c r="T70" s="30">
        <v>3215450442.4529047</v>
      </c>
      <c r="U70" s="9">
        <v>102.5</v>
      </c>
      <c r="V70" s="32">
        <v>1583244.6</v>
      </c>
      <c r="W70" s="19">
        <v>8084677</v>
      </c>
      <c r="X70" s="19">
        <v>573</v>
      </c>
      <c r="Y70" s="17">
        <v>22201.026315789473</v>
      </c>
      <c r="Z70" s="16">
        <v>103905.5735</v>
      </c>
      <c r="AA70" s="7">
        <v>6333</v>
      </c>
      <c r="AB70" s="29">
        <v>345</v>
      </c>
      <c r="AC70" s="7">
        <v>385</v>
      </c>
      <c r="AD70" s="11">
        <v>1581</v>
      </c>
      <c r="AE70" s="11">
        <v>127</v>
      </c>
      <c r="AF70" s="11">
        <v>736</v>
      </c>
      <c r="AG70" s="40">
        <v>21</v>
      </c>
      <c r="AH70" s="40">
        <v>844.1</v>
      </c>
      <c r="AI70" s="40">
        <v>77.300000000000011</v>
      </c>
      <c r="AJ70" s="40">
        <v>49.900000000000006</v>
      </c>
      <c r="AK70" s="40">
        <v>139.21</v>
      </c>
      <c r="AL70" s="40">
        <v>75.143042210946774</v>
      </c>
      <c r="AM70" s="40">
        <v>373.2</v>
      </c>
      <c r="AN70" s="40">
        <v>511056.47063857003</v>
      </c>
    </row>
    <row r="71" spans="1:40" x14ac:dyDescent="0.3">
      <c r="A71" s="31" t="s">
        <v>107</v>
      </c>
      <c r="B71" s="6">
        <v>97.6</v>
      </c>
      <c r="C71" s="5">
        <v>389409</v>
      </c>
      <c r="D71" s="5">
        <v>910223.61499999999</v>
      </c>
      <c r="E71" s="6">
        <v>76.599999999999994</v>
      </c>
      <c r="F71" s="6">
        <v>3.8227796305072248</v>
      </c>
      <c r="G71" s="17">
        <v>1154</v>
      </c>
      <c r="H71" s="6">
        <v>10.662000000000001</v>
      </c>
      <c r="I71" s="17">
        <v>32201</v>
      </c>
      <c r="J71" s="9">
        <v>75.8</v>
      </c>
      <c r="K71" s="9">
        <v>16.399999999999999</v>
      </c>
      <c r="L71" s="6">
        <v>8.5</v>
      </c>
      <c r="M71" s="9">
        <v>-0.7</v>
      </c>
      <c r="N71" s="9">
        <v>8.5</v>
      </c>
      <c r="O71" s="9">
        <v>273.87507685996832</v>
      </c>
      <c r="P71" s="11">
        <v>49258</v>
      </c>
      <c r="Q71" s="11">
        <v>431697</v>
      </c>
      <c r="R71" s="9">
        <v>97.2</v>
      </c>
      <c r="S71" s="6">
        <v>98</v>
      </c>
      <c r="T71" s="30">
        <v>2040916776.2717805</v>
      </c>
      <c r="U71" s="9">
        <v>104.3</v>
      </c>
      <c r="V71" s="32">
        <v>1181645.3</v>
      </c>
      <c r="W71" s="19">
        <v>5701723</v>
      </c>
      <c r="X71" s="19">
        <v>638</v>
      </c>
      <c r="Y71" s="17">
        <v>17590</v>
      </c>
      <c r="Z71" s="16">
        <v>4587.8339000000005</v>
      </c>
      <c r="AA71" s="7">
        <v>4597</v>
      </c>
      <c r="AB71" s="29">
        <v>255</v>
      </c>
      <c r="AC71" s="7">
        <v>251</v>
      </c>
      <c r="AD71" s="11">
        <v>1387</v>
      </c>
      <c r="AE71" s="11">
        <v>97</v>
      </c>
      <c r="AF71" s="11">
        <v>357</v>
      </c>
      <c r="AG71" s="40">
        <v>21</v>
      </c>
      <c r="AH71" s="40">
        <v>965.1</v>
      </c>
      <c r="AI71" s="40">
        <v>87.300000000000011</v>
      </c>
      <c r="AJ71" s="40">
        <v>49.5</v>
      </c>
      <c r="AK71" s="40">
        <v>128.232</v>
      </c>
      <c r="AL71" s="40">
        <v>77.096322304857296</v>
      </c>
      <c r="AM71" s="40">
        <v>344.3</v>
      </c>
      <c r="AN71" s="40">
        <v>326416.59880410996</v>
      </c>
    </row>
    <row r="72" spans="1:40" x14ac:dyDescent="0.3">
      <c r="A72" s="31" t="s">
        <v>108</v>
      </c>
      <c r="B72" s="6">
        <v>98</v>
      </c>
      <c r="C72" s="5">
        <v>162127</v>
      </c>
      <c r="D72" s="5">
        <v>414714.27299999999</v>
      </c>
      <c r="E72" s="6">
        <v>75.400000000000006</v>
      </c>
      <c r="F72" s="6">
        <v>3.488948243072592</v>
      </c>
      <c r="G72" s="17">
        <v>1233</v>
      </c>
      <c r="H72" s="6">
        <v>7.423</v>
      </c>
      <c r="I72" s="17">
        <v>29138</v>
      </c>
      <c r="J72" s="9">
        <v>73.900000000000006</v>
      </c>
      <c r="K72" s="9">
        <v>14.4</v>
      </c>
      <c r="L72" s="6">
        <v>6</v>
      </c>
      <c r="M72" s="9">
        <v>5.7</v>
      </c>
      <c r="N72" s="9">
        <v>6</v>
      </c>
      <c r="O72" s="9">
        <v>334.27183277046919</v>
      </c>
      <c r="P72" s="11">
        <v>34245</v>
      </c>
      <c r="Q72" s="11">
        <v>360293</v>
      </c>
      <c r="R72" s="9">
        <v>99</v>
      </c>
      <c r="S72" s="6">
        <v>98.7</v>
      </c>
      <c r="T72" s="30">
        <v>1804854094.325808</v>
      </c>
      <c r="U72" s="9">
        <v>99.4</v>
      </c>
      <c r="V72" s="32">
        <v>1132678.8999999999</v>
      </c>
      <c r="W72" s="19">
        <v>5058224</v>
      </c>
      <c r="X72" s="19">
        <v>353</v>
      </c>
      <c r="Y72" s="17">
        <v>11057</v>
      </c>
      <c r="Z72" s="16">
        <v>12107.4503</v>
      </c>
      <c r="AA72" s="7">
        <v>4961</v>
      </c>
      <c r="AB72" s="29">
        <v>202</v>
      </c>
      <c r="AC72" s="7">
        <v>178</v>
      </c>
      <c r="AD72" s="11">
        <v>1157</v>
      </c>
      <c r="AE72" s="11">
        <v>132</v>
      </c>
      <c r="AF72" s="11">
        <v>496</v>
      </c>
      <c r="AG72" s="40">
        <v>18</v>
      </c>
      <c r="AH72" s="40">
        <v>780.5</v>
      </c>
      <c r="AI72" s="40">
        <v>89.2</v>
      </c>
      <c r="AJ72" s="40">
        <v>43.7</v>
      </c>
      <c r="AK72" s="40">
        <v>111.374</v>
      </c>
      <c r="AL72" s="40">
        <v>78.769661649881186</v>
      </c>
      <c r="AM72" s="40">
        <v>320.3</v>
      </c>
      <c r="AN72" s="40">
        <v>321860.40717050002</v>
      </c>
    </row>
    <row r="73" spans="1:40" x14ac:dyDescent="0.3">
      <c r="A73" s="31" t="s">
        <v>109</v>
      </c>
      <c r="B73" s="6">
        <v>101.4</v>
      </c>
      <c r="C73" s="5">
        <v>136455</v>
      </c>
      <c r="D73" s="5">
        <v>380968.56599999999</v>
      </c>
      <c r="E73" s="6">
        <v>77.3</v>
      </c>
      <c r="F73" s="6">
        <v>3.5527101415673497</v>
      </c>
      <c r="G73" s="17">
        <v>1391</v>
      </c>
      <c r="H73" s="6">
        <v>16.88</v>
      </c>
      <c r="I73" s="17">
        <v>38573</v>
      </c>
      <c r="J73" s="9">
        <v>77.3</v>
      </c>
      <c r="K73" s="9">
        <v>20.9</v>
      </c>
      <c r="L73" s="6">
        <v>2.1</v>
      </c>
      <c r="M73" s="9">
        <v>-0.3</v>
      </c>
      <c r="N73" s="9">
        <v>2.1</v>
      </c>
      <c r="O73" s="9">
        <v>352.99648829982948</v>
      </c>
      <c r="P73" s="11">
        <v>86952</v>
      </c>
      <c r="Q73" s="11">
        <v>291160</v>
      </c>
      <c r="R73" s="9">
        <v>109.1</v>
      </c>
      <c r="S73" s="6">
        <v>108.5</v>
      </c>
      <c r="T73" s="30">
        <v>1729736084.1657248</v>
      </c>
      <c r="U73" s="9">
        <v>102.9</v>
      </c>
      <c r="V73" s="32">
        <v>1603604.7</v>
      </c>
      <c r="W73" s="19">
        <v>5850799</v>
      </c>
      <c r="X73" s="19">
        <v>1080</v>
      </c>
      <c r="Y73" s="17">
        <v>46859</v>
      </c>
      <c r="Z73" s="16">
        <v>84246.253599999996</v>
      </c>
      <c r="AA73" s="7">
        <v>3889</v>
      </c>
      <c r="AB73" s="29">
        <v>337</v>
      </c>
      <c r="AC73" s="7">
        <v>394</v>
      </c>
      <c r="AD73" s="11">
        <v>1436</v>
      </c>
      <c r="AE73" s="11">
        <v>110</v>
      </c>
      <c r="AF73" s="11">
        <v>261</v>
      </c>
      <c r="AG73" s="40">
        <v>20</v>
      </c>
      <c r="AH73" s="40">
        <v>810.40000000000009</v>
      </c>
      <c r="AI73" s="40">
        <v>89.7</v>
      </c>
      <c r="AJ73" s="40">
        <v>58.900000000000006</v>
      </c>
      <c r="AK73" s="40">
        <v>133.15</v>
      </c>
      <c r="AL73" s="40">
        <v>73.07021106123301</v>
      </c>
      <c r="AM73" s="40">
        <v>373.4</v>
      </c>
      <c r="AN73" s="40">
        <v>325640.63413453003</v>
      </c>
    </row>
    <row r="74" spans="1:40" x14ac:dyDescent="0.3">
      <c r="A74" s="31" t="s">
        <v>110</v>
      </c>
      <c r="B74" s="6">
        <v>98.5</v>
      </c>
      <c r="C74" s="5">
        <v>113942</v>
      </c>
      <c r="D74" s="5">
        <v>207952.261</v>
      </c>
      <c r="E74" s="6">
        <v>79.599999999999994</v>
      </c>
      <c r="F74" s="6">
        <v>3.8251513905353915</v>
      </c>
      <c r="G74" s="17">
        <v>936</v>
      </c>
      <c r="H74" s="6">
        <v>12.167999999999999</v>
      </c>
      <c r="I74" s="17">
        <v>32541</v>
      </c>
      <c r="J74" s="9">
        <v>79.8</v>
      </c>
      <c r="K74" s="9">
        <v>12.4</v>
      </c>
      <c r="L74" s="6">
        <v>2.5</v>
      </c>
      <c r="M74" s="9">
        <v>5.3</v>
      </c>
      <c r="N74" s="9">
        <v>2.5</v>
      </c>
      <c r="O74" s="9">
        <v>277.00783183258505</v>
      </c>
      <c r="P74" s="11">
        <v>35038</v>
      </c>
      <c r="Q74" s="11">
        <v>94434</v>
      </c>
      <c r="R74" s="9">
        <v>83.3</v>
      </c>
      <c r="S74" s="6">
        <v>106.2</v>
      </c>
      <c r="T74" s="30">
        <v>861193033.86604011</v>
      </c>
      <c r="U74" s="9">
        <v>105.9</v>
      </c>
      <c r="V74" s="32">
        <v>916333.8</v>
      </c>
      <c r="W74" s="19">
        <v>3256172</v>
      </c>
      <c r="X74" s="19">
        <v>407</v>
      </c>
      <c r="Y74" s="17">
        <v>7885.0263157894733</v>
      </c>
      <c r="Z74" s="16">
        <v>75959.587599999999</v>
      </c>
      <c r="AA74" s="7">
        <v>7002</v>
      </c>
      <c r="AB74" s="29">
        <v>188</v>
      </c>
      <c r="AC74" s="7">
        <v>342</v>
      </c>
      <c r="AD74" s="11">
        <v>1186</v>
      </c>
      <c r="AE74" s="11">
        <v>75</v>
      </c>
      <c r="AF74" s="11">
        <v>549</v>
      </c>
      <c r="AG74" s="40">
        <v>12</v>
      </c>
      <c r="AH74" s="40">
        <v>802.90000000000009</v>
      </c>
      <c r="AI74" s="40">
        <v>82.300000000000011</v>
      </c>
      <c r="AJ74" s="40">
        <v>52.300000000000004</v>
      </c>
      <c r="AK74" s="40">
        <v>86.218999999999994</v>
      </c>
      <c r="AL74" s="40">
        <v>78.050966369438285</v>
      </c>
      <c r="AM74" s="40">
        <v>243.3</v>
      </c>
      <c r="AN74" s="40">
        <v>171720.20690254</v>
      </c>
    </row>
    <row r="75" spans="1:40" x14ac:dyDescent="0.3">
      <c r="A75" s="31" t="s">
        <v>111</v>
      </c>
      <c r="B75" s="6">
        <v>111</v>
      </c>
      <c r="C75" s="5">
        <v>141750</v>
      </c>
      <c r="D75" s="5">
        <v>148517.829</v>
      </c>
      <c r="E75" s="6">
        <v>76</v>
      </c>
      <c r="F75" s="6">
        <v>3.989187502095827</v>
      </c>
      <c r="G75" s="17">
        <v>528</v>
      </c>
      <c r="H75" s="6">
        <v>8.8140000000000001</v>
      </c>
      <c r="I75" s="17">
        <v>32494</v>
      </c>
      <c r="J75" s="9">
        <v>78.099999999999994</v>
      </c>
      <c r="K75" s="9">
        <v>14.9</v>
      </c>
      <c r="L75" s="6">
        <v>5</v>
      </c>
      <c r="M75" s="9">
        <v>2</v>
      </c>
      <c r="N75" s="9">
        <v>5</v>
      </c>
      <c r="O75" s="9">
        <v>320.80008817454723</v>
      </c>
      <c r="P75" s="11">
        <v>22984</v>
      </c>
      <c r="Q75" s="11">
        <v>112877</v>
      </c>
      <c r="R75" s="9">
        <v>96.7</v>
      </c>
      <c r="S75" s="6">
        <v>103.8</v>
      </c>
      <c r="T75" s="30">
        <v>743629641.70445156</v>
      </c>
      <c r="U75" s="9">
        <v>100.2</v>
      </c>
      <c r="V75" s="32">
        <v>514423.2</v>
      </c>
      <c r="W75" s="19">
        <v>2539689</v>
      </c>
      <c r="X75" s="19">
        <v>511</v>
      </c>
      <c r="Y75" s="17">
        <v>6554</v>
      </c>
      <c r="Z75" s="16">
        <v>23591.440600000002</v>
      </c>
      <c r="AA75" s="7">
        <v>4694</v>
      </c>
      <c r="AB75" s="29">
        <v>120</v>
      </c>
      <c r="AC75" s="7">
        <v>278</v>
      </c>
      <c r="AD75" s="11">
        <v>598</v>
      </c>
      <c r="AE75" s="11">
        <v>32</v>
      </c>
      <c r="AF75" s="11">
        <v>683</v>
      </c>
      <c r="AG75" s="40">
        <v>18</v>
      </c>
      <c r="AH75" s="40">
        <v>774.7</v>
      </c>
      <c r="AI75" s="40">
        <v>105.80000000000001</v>
      </c>
      <c r="AJ75" s="40">
        <v>63.900000000000006</v>
      </c>
      <c r="AK75" s="40">
        <v>47.862000000000002</v>
      </c>
      <c r="AL75" s="40">
        <v>76.895393859550481</v>
      </c>
      <c r="AM75" s="40">
        <v>129</v>
      </c>
      <c r="AN75" s="40">
        <v>120708.14667377001</v>
      </c>
    </row>
    <row r="76" spans="1:40" x14ac:dyDescent="0.3">
      <c r="A76" s="31" t="s">
        <v>112</v>
      </c>
      <c r="B76" s="6">
        <v>123.5</v>
      </c>
      <c r="C76" s="5">
        <v>169798</v>
      </c>
      <c r="D76" s="5">
        <v>165260.514</v>
      </c>
      <c r="E76" s="6">
        <v>68.2</v>
      </c>
      <c r="F76" s="6">
        <v>5.74924894623362</v>
      </c>
      <c r="G76" s="17">
        <v>428</v>
      </c>
      <c r="H76" s="6">
        <v>3.3769999999999998</v>
      </c>
      <c r="I76" s="17">
        <v>31290</v>
      </c>
      <c r="J76" s="9">
        <v>81.5</v>
      </c>
      <c r="K76" s="9">
        <v>14</v>
      </c>
      <c r="L76" s="6">
        <v>2.8</v>
      </c>
      <c r="M76" s="9">
        <v>1.7</v>
      </c>
      <c r="N76" s="9">
        <v>2.8</v>
      </c>
      <c r="O76" s="9">
        <v>274.79056961361096</v>
      </c>
      <c r="P76" s="11">
        <v>18173</v>
      </c>
      <c r="Q76" s="11">
        <v>52294</v>
      </c>
      <c r="R76" s="9">
        <v>109.2</v>
      </c>
      <c r="S76" s="6">
        <v>97.1</v>
      </c>
      <c r="T76" s="30">
        <v>395076188.1619851</v>
      </c>
      <c r="U76" s="9">
        <v>110.3</v>
      </c>
      <c r="V76" s="32">
        <v>464613.9</v>
      </c>
      <c r="W76" s="19">
        <v>1448608</v>
      </c>
      <c r="X76" s="19">
        <v>482</v>
      </c>
      <c r="Y76" s="17">
        <v>5950.8157894736842</v>
      </c>
      <c r="Z76" s="16">
        <v>1047.9835</v>
      </c>
      <c r="AA76" s="7">
        <v>5587</v>
      </c>
      <c r="AB76" s="29">
        <v>46</v>
      </c>
      <c r="AC76" s="7">
        <v>263</v>
      </c>
      <c r="AD76" s="11">
        <v>576</v>
      </c>
      <c r="AE76" s="11">
        <v>17</v>
      </c>
      <c r="AF76" s="11">
        <v>401</v>
      </c>
      <c r="AG76" s="40">
        <v>21</v>
      </c>
      <c r="AH76" s="40">
        <v>722.5</v>
      </c>
      <c r="AI76" s="40">
        <v>81</v>
      </c>
      <c r="AJ76" s="40">
        <v>43.800000000000004</v>
      </c>
      <c r="AK76" s="40">
        <v>55.154000000000003</v>
      </c>
      <c r="AL76" s="40">
        <v>74.782042764362117</v>
      </c>
      <c r="AM76" s="40">
        <v>151.80000000000001</v>
      </c>
      <c r="AN76" s="40">
        <v>132326.43265063001</v>
      </c>
    </row>
    <row r="77" spans="1:40" x14ac:dyDescent="0.3">
      <c r="A77" s="31" t="s">
        <v>113</v>
      </c>
      <c r="B77" s="6">
        <v>104.4</v>
      </c>
      <c r="C77" s="5">
        <v>739741</v>
      </c>
      <c r="D77" s="5">
        <v>739455.51399999997</v>
      </c>
      <c r="E77" s="6">
        <v>74.3</v>
      </c>
      <c r="F77" s="6">
        <v>6.0664196274972513</v>
      </c>
      <c r="G77" s="17">
        <v>517</v>
      </c>
      <c r="H77" s="6">
        <v>3.5630000000000002</v>
      </c>
      <c r="I77" s="17">
        <v>45604</v>
      </c>
      <c r="J77" s="9">
        <v>66.099999999999994</v>
      </c>
      <c r="K77" s="9">
        <v>15.1</v>
      </c>
      <c r="L77" s="6">
        <v>6</v>
      </c>
      <c r="M77" s="9">
        <v>12.8</v>
      </c>
      <c r="N77" s="9">
        <v>6</v>
      </c>
      <c r="O77" s="9">
        <v>231.33905181777521</v>
      </c>
      <c r="P77" s="11">
        <v>21828</v>
      </c>
      <c r="Q77" s="11">
        <v>355773</v>
      </c>
      <c r="R77" s="9">
        <v>101.4</v>
      </c>
      <c r="S77" s="6">
        <v>101.8</v>
      </c>
      <c r="T77" s="30">
        <v>1792463860.5739486</v>
      </c>
      <c r="U77" s="9">
        <v>104</v>
      </c>
      <c r="V77" s="32">
        <v>429776.6</v>
      </c>
      <c r="W77" s="19">
        <v>5634595</v>
      </c>
      <c r="X77" s="19">
        <v>705</v>
      </c>
      <c r="Y77" s="17">
        <v>11267.394736842105</v>
      </c>
      <c r="Z77" s="16">
        <v>1856.8324</v>
      </c>
      <c r="AA77" s="7">
        <v>8837</v>
      </c>
      <c r="AB77" s="29">
        <v>27</v>
      </c>
      <c r="AC77" s="7">
        <v>242</v>
      </c>
      <c r="AD77" s="11">
        <v>874</v>
      </c>
      <c r="AE77" s="11">
        <v>54</v>
      </c>
      <c r="AF77" s="11">
        <v>500</v>
      </c>
      <c r="AG77" s="40">
        <v>28</v>
      </c>
      <c r="AH77" s="40">
        <v>1099.4000000000001</v>
      </c>
      <c r="AI77" s="40">
        <v>86.2</v>
      </c>
      <c r="AJ77" s="40">
        <v>60.300000000000004</v>
      </c>
      <c r="AK77" s="40">
        <v>60.56</v>
      </c>
      <c r="AL77" s="40">
        <v>77.491010991542026</v>
      </c>
      <c r="AM77" s="40">
        <v>153.80000000000001</v>
      </c>
      <c r="AN77" s="40">
        <v>389273.35606833</v>
      </c>
    </row>
    <row r="78" spans="1:40" x14ac:dyDescent="0.3">
      <c r="A78" s="31" t="s">
        <v>114</v>
      </c>
      <c r="B78" s="6">
        <v>130.19999999999999</v>
      </c>
      <c r="C78" s="5">
        <v>273450</v>
      </c>
      <c r="D78" s="5">
        <v>270281.54100000003</v>
      </c>
      <c r="E78" s="6">
        <v>72.900000000000006</v>
      </c>
      <c r="F78" s="6">
        <v>7.1569819709358393</v>
      </c>
      <c r="G78" s="17">
        <v>483</v>
      </c>
      <c r="H78" s="6">
        <v>3.0510000000000002</v>
      </c>
      <c r="I78" s="17">
        <v>30826</v>
      </c>
      <c r="J78" s="9">
        <v>72.099999999999994</v>
      </c>
      <c r="K78" s="9">
        <v>14.4</v>
      </c>
      <c r="L78" s="6">
        <v>2.4</v>
      </c>
      <c r="M78" s="9">
        <v>11.1</v>
      </c>
      <c r="N78" s="9">
        <v>2.4</v>
      </c>
      <c r="O78" s="9">
        <v>322.69058660395473</v>
      </c>
      <c r="P78" s="11">
        <v>12804</v>
      </c>
      <c r="Q78" s="11">
        <v>100683</v>
      </c>
      <c r="R78" s="9">
        <v>102.4</v>
      </c>
      <c r="S78" s="6">
        <v>102.7</v>
      </c>
      <c r="T78" s="30">
        <v>566693156.64914834</v>
      </c>
      <c r="U78" s="9">
        <v>97</v>
      </c>
      <c r="V78" s="32">
        <v>746985.5</v>
      </c>
      <c r="W78" s="19">
        <v>2145729</v>
      </c>
      <c r="X78" s="19">
        <v>385</v>
      </c>
      <c r="Y78" s="17">
        <v>4794</v>
      </c>
      <c r="Z78" s="38">
        <v>1452.40795</v>
      </c>
      <c r="AA78" s="7">
        <v>6518</v>
      </c>
      <c r="AB78" s="29">
        <v>74</v>
      </c>
      <c r="AC78" s="7">
        <v>276</v>
      </c>
      <c r="AD78" s="11">
        <v>720</v>
      </c>
      <c r="AE78" s="11">
        <v>24</v>
      </c>
      <c r="AF78" s="11">
        <v>324</v>
      </c>
      <c r="AG78" s="40">
        <v>23</v>
      </c>
      <c r="AH78" s="40">
        <v>808.5</v>
      </c>
      <c r="AI78" s="40">
        <v>95.600000000000009</v>
      </c>
      <c r="AJ78" s="40">
        <v>52.2</v>
      </c>
      <c r="AK78" s="40">
        <v>50.502000000000002</v>
      </c>
      <c r="AL78" s="40">
        <v>74.004278889833245</v>
      </c>
      <c r="AM78" s="40">
        <v>145.6</v>
      </c>
      <c r="AN78" s="40">
        <v>145511.71466005</v>
      </c>
    </row>
    <row r="79" spans="1:40" x14ac:dyDescent="0.3">
      <c r="A79" s="31" t="s">
        <v>115</v>
      </c>
      <c r="B79" s="6">
        <v>124.1</v>
      </c>
      <c r="C79" s="5">
        <v>443696</v>
      </c>
      <c r="D79" s="5">
        <v>128156.70600000001</v>
      </c>
      <c r="E79" s="6">
        <v>82.7</v>
      </c>
      <c r="F79" s="6">
        <v>2.1603004941144381</v>
      </c>
      <c r="G79" s="17">
        <v>167</v>
      </c>
      <c r="H79" s="6">
        <v>0.71199999999999997</v>
      </c>
      <c r="I79" s="17">
        <v>50350</v>
      </c>
      <c r="J79" s="9">
        <v>57.8</v>
      </c>
      <c r="K79" s="9">
        <v>15.6</v>
      </c>
      <c r="L79" s="6">
        <v>1.8</v>
      </c>
      <c r="M79" s="9">
        <v>24.8</v>
      </c>
      <c r="N79" s="9">
        <v>1.8</v>
      </c>
      <c r="O79" s="9">
        <v>584.525881909139</v>
      </c>
      <c r="P79" s="11">
        <v>8783</v>
      </c>
      <c r="Q79" s="11">
        <v>40239</v>
      </c>
      <c r="R79" s="9">
        <v>134.5</v>
      </c>
      <c r="S79" s="6">
        <v>130.9</v>
      </c>
      <c r="T79" s="30">
        <v>361060778.73909479</v>
      </c>
      <c r="U79" s="9">
        <v>91.3</v>
      </c>
      <c r="V79" s="32">
        <v>224607.4</v>
      </c>
      <c r="W79" s="19">
        <v>1192136</v>
      </c>
      <c r="X79" s="19">
        <v>301</v>
      </c>
      <c r="Y79" s="17">
        <v>947.26315789473688</v>
      </c>
      <c r="Z79" s="16">
        <v>1019.8596</v>
      </c>
      <c r="AA79" s="7">
        <v>7520</v>
      </c>
      <c r="AB79" s="29">
        <v>114</v>
      </c>
      <c r="AC79" s="7">
        <v>271</v>
      </c>
      <c r="AD79" s="11">
        <v>191</v>
      </c>
      <c r="AE79" s="11">
        <v>9</v>
      </c>
      <c r="AF79" s="11">
        <v>548</v>
      </c>
      <c r="AG79" s="40">
        <v>21</v>
      </c>
      <c r="AH79" s="40">
        <v>873.40000000000009</v>
      </c>
      <c r="AI79" s="40">
        <v>115.2</v>
      </c>
      <c r="AJ79" s="40">
        <v>63</v>
      </c>
      <c r="AK79" s="40">
        <v>16.422999999999998</v>
      </c>
      <c r="AL79" s="40">
        <v>84.263724987172907</v>
      </c>
      <c r="AM79" s="40">
        <v>38.1</v>
      </c>
      <c r="AN79" s="40">
        <v>130852.87571682001</v>
      </c>
    </row>
    <row r="80" spans="1:40" x14ac:dyDescent="0.3">
      <c r="A80" s="31" t="s">
        <v>116</v>
      </c>
      <c r="B80" s="6">
        <v>115</v>
      </c>
      <c r="C80" s="5">
        <v>220922</v>
      </c>
      <c r="D80" s="5">
        <v>400584.04499999998</v>
      </c>
      <c r="E80" s="6">
        <v>79.7</v>
      </c>
      <c r="F80" s="6">
        <v>2.6094199306121157</v>
      </c>
      <c r="G80" s="17">
        <v>987</v>
      </c>
      <c r="H80" s="6">
        <v>7.5780000000000003</v>
      </c>
      <c r="I80" s="17">
        <v>44081</v>
      </c>
      <c r="J80" s="9">
        <v>80.900000000000006</v>
      </c>
      <c r="K80" s="9">
        <v>16.8</v>
      </c>
      <c r="L80" s="6">
        <v>0.3</v>
      </c>
      <c r="M80" s="9">
        <v>2</v>
      </c>
      <c r="N80" s="9">
        <v>0.4</v>
      </c>
      <c r="O80" s="9">
        <v>505.59208322884331</v>
      </c>
      <c r="P80" s="11">
        <v>51433</v>
      </c>
      <c r="Q80" s="11">
        <v>708226</v>
      </c>
      <c r="R80" s="9">
        <v>102.6</v>
      </c>
      <c r="S80" s="6">
        <v>98.8</v>
      </c>
      <c r="T80" s="30">
        <v>1497438897.4997602</v>
      </c>
      <c r="U80" s="9">
        <v>102.6</v>
      </c>
      <c r="V80" s="32">
        <v>1169533.8999999999</v>
      </c>
      <c r="W80" s="19">
        <v>5913793</v>
      </c>
      <c r="X80" s="19">
        <v>667</v>
      </c>
      <c r="Y80" s="17">
        <v>16953.21052631579</v>
      </c>
      <c r="Z80" s="16">
        <v>35429.0795</v>
      </c>
      <c r="AA80" s="7">
        <v>3577</v>
      </c>
      <c r="AB80" s="29">
        <v>118</v>
      </c>
      <c r="AC80" s="7">
        <v>318</v>
      </c>
      <c r="AD80" s="11">
        <v>1160</v>
      </c>
      <c r="AE80" s="11">
        <v>72</v>
      </c>
      <c r="AF80" s="11">
        <v>235</v>
      </c>
      <c r="AG80" s="40">
        <v>15</v>
      </c>
      <c r="AH80" s="40">
        <v>888.1</v>
      </c>
      <c r="AI80" s="40">
        <v>91.9</v>
      </c>
      <c r="AJ80" s="40">
        <v>53.5</v>
      </c>
      <c r="AK80" s="40">
        <v>81.534000000000006</v>
      </c>
      <c r="AL80" s="40">
        <v>77.365544464265383</v>
      </c>
      <c r="AM80" s="40">
        <v>218.9</v>
      </c>
      <c r="AN80" s="40">
        <v>257455.25187519001</v>
      </c>
    </row>
    <row r="81" spans="1:40" x14ac:dyDescent="0.3">
      <c r="A81" s="31" t="s">
        <v>117</v>
      </c>
      <c r="B81" s="6">
        <v>138.5</v>
      </c>
      <c r="C81" s="5">
        <v>326830</v>
      </c>
      <c r="D81" s="5">
        <v>418705.22100000002</v>
      </c>
      <c r="E81" s="6">
        <v>83</v>
      </c>
      <c r="F81" s="6">
        <v>2.2244328677049778</v>
      </c>
      <c r="G81" s="17">
        <v>709</v>
      </c>
      <c r="H81" s="6">
        <v>7.1440000000000001</v>
      </c>
      <c r="I81" s="17">
        <v>47075</v>
      </c>
      <c r="J81" s="9">
        <v>81</v>
      </c>
      <c r="K81" s="9">
        <v>13.7</v>
      </c>
      <c r="L81" s="6">
        <v>0.4</v>
      </c>
      <c r="M81" s="9">
        <v>4.9000000000000004</v>
      </c>
      <c r="N81" s="9">
        <v>0.4</v>
      </c>
      <c r="O81" s="9">
        <v>314.97685685046616</v>
      </c>
      <c r="P81" s="11">
        <v>31815</v>
      </c>
      <c r="Q81" s="11">
        <v>97889</v>
      </c>
      <c r="R81" s="9">
        <v>100.2</v>
      </c>
      <c r="S81" s="6">
        <v>100</v>
      </c>
      <c r="T81" s="30">
        <v>1068560508.2015706</v>
      </c>
      <c r="U81" s="9">
        <v>97.1</v>
      </c>
      <c r="V81" s="32">
        <v>864890.1</v>
      </c>
      <c r="W81" s="19">
        <v>3892387</v>
      </c>
      <c r="X81" s="19">
        <v>451</v>
      </c>
      <c r="Y81" s="17">
        <v>7887</v>
      </c>
      <c r="Z81" s="16">
        <v>105808.14690000001</v>
      </c>
      <c r="AA81" s="7">
        <v>7103</v>
      </c>
      <c r="AB81" s="29">
        <v>113</v>
      </c>
      <c r="AC81" s="7">
        <v>246</v>
      </c>
      <c r="AD81" s="11">
        <v>591</v>
      </c>
      <c r="AE81" s="11">
        <v>65</v>
      </c>
      <c r="AF81" s="11">
        <v>302</v>
      </c>
      <c r="AG81" s="40">
        <v>22</v>
      </c>
      <c r="AH81" s="40">
        <v>726.30000000000007</v>
      </c>
      <c r="AI81" s="40">
        <v>85.2</v>
      </c>
      <c r="AJ81" s="40">
        <v>55</v>
      </c>
      <c r="AK81" s="40">
        <v>66.149000000000001</v>
      </c>
      <c r="AL81" s="40">
        <v>79.854412883131928</v>
      </c>
      <c r="AM81" s="40">
        <v>155.69999999999999</v>
      </c>
      <c r="AN81" s="40">
        <v>194812.89325471999</v>
      </c>
    </row>
    <row r="82" spans="1:40" x14ac:dyDescent="0.3">
      <c r="A82" s="31" t="s">
        <v>118</v>
      </c>
      <c r="B82" s="6">
        <v>143.4</v>
      </c>
      <c r="C82" s="5">
        <v>997236</v>
      </c>
      <c r="D82" s="5">
        <v>751058.00876999996</v>
      </c>
      <c r="E82" s="6">
        <v>81.900000000000006</v>
      </c>
      <c r="F82" s="6">
        <v>2.6479827037005905</v>
      </c>
      <c r="G82" s="17">
        <v>410</v>
      </c>
      <c r="H82" s="6">
        <v>2.4590000000000001</v>
      </c>
      <c r="I82" s="17">
        <v>40104</v>
      </c>
      <c r="J82" s="9">
        <v>74.2</v>
      </c>
      <c r="K82" s="9">
        <v>17.899999999999999</v>
      </c>
      <c r="L82" s="6">
        <v>2.2000000000000002</v>
      </c>
      <c r="M82" s="9">
        <v>5.7</v>
      </c>
      <c r="N82" s="9">
        <v>2.2000000000000002</v>
      </c>
      <c r="O82" s="9">
        <v>322.32032988349289</v>
      </c>
      <c r="P82" s="11">
        <v>13694</v>
      </c>
      <c r="Q82" s="11">
        <v>-258473</v>
      </c>
      <c r="R82" s="9">
        <v>96.6</v>
      </c>
      <c r="S82" s="6">
        <v>97.2</v>
      </c>
      <c r="T82" s="30">
        <v>662618826.70421922</v>
      </c>
      <c r="U82" s="9">
        <v>102.2</v>
      </c>
      <c r="V82" s="32">
        <v>467853.4</v>
      </c>
      <c r="W82" s="19">
        <v>3249143</v>
      </c>
      <c r="X82" s="19">
        <v>659</v>
      </c>
      <c r="Y82" s="17">
        <v>6913.0789473684208</v>
      </c>
      <c r="Z82" s="16">
        <v>845.67809999999997</v>
      </c>
      <c r="AA82" s="7">
        <v>4829</v>
      </c>
      <c r="AB82" s="29">
        <v>59</v>
      </c>
      <c r="AC82" s="7">
        <v>172</v>
      </c>
      <c r="AD82" s="11">
        <v>568</v>
      </c>
      <c r="AE82" s="11">
        <v>18</v>
      </c>
      <c r="AF82" s="11">
        <v>546</v>
      </c>
      <c r="AG82" s="40">
        <v>20</v>
      </c>
      <c r="AH82" s="40">
        <v>885.80000000000007</v>
      </c>
      <c r="AI82" s="40">
        <v>93</v>
      </c>
      <c r="AJ82" s="40">
        <v>56.900000000000006</v>
      </c>
      <c r="AK82" s="40">
        <v>33.014000000000003</v>
      </c>
      <c r="AL82" s="40">
        <v>69.09440991188967</v>
      </c>
      <c r="AM82" s="40">
        <v>99.4</v>
      </c>
      <c r="AN82" s="40">
        <v>130121.94953242999</v>
      </c>
    </row>
    <row r="83" spans="1:40" x14ac:dyDescent="0.3">
      <c r="A83" s="31" t="s">
        <v>119</v>
      </c>
      <c r="B83" s="6">
        <v>109.2</v>
      </c>
      <c r="C83" s="5">
        <v>725764</v>
      </c>
      <c r="D83" s="5">
        <v>97144.297000000006</v>
      </c>
      <c r="E83" s="6">
        <v>82.1</v>
      </c>
      <c r="F83" s="6">
        <v>3.5599939668033338</v>
      </c>
      <c r="G83" s="17">
        <v>81</v>
      </c>
      <c r="H83" s="6">
        <v>0.39800000000000002</v>
      </c>
      <c r="I83" s="17">
        <v>52668</v>
      </c>
      <c r="J83" s="9">
        <v>47.4</v>
      </c>
      <c r="K83" s="9">
        <v>13.9</v>
      </c>
      <c r="L83" s="6">
        <v>10.3</v>
      </c>
      <c r="M83" s="9">
        <v>28.4</v>
      </c>
      <c r="N83" s="9">
        <v>10.3</v>
      </c>
      <c r="O83" s="9">
        <v>396.41794177843423</v>
      </c>
      <c r="P83" s="11">
        <v>3786</v>
      </c>
      <c r="Q83" s="11">
        <v>76489</v>
      </c>
      <c r="R83" s="9">
        <v>91.4</v>
      </c>
      <c r="S83" s="6">
        <v>92.9</v>
      </c>
      <c r="T83" s="30">
        <v>309805941.80831045</v>
      </c>
      <c r="U83" s="9">
        <v>92.3</v>
      </c>
      <c r="V83" s="32">
        <v>115551.3</v>
      </c>
      <c r="W83" s="19">
        <v>664023</v>
      </c>
      <c r="X83" s="19">
        <v>89</v>
      </c>
      <c r="Y83" s="17">
        <v>127</v>
      </c>
      <c r="Z83" s="16">
        <v>475.93</v>
      </c>
      <c r="AA83" s="7">
        <v>10550</v>
      </c>
      <c r="AB83" s="29">
        <v>7</v>
      </c>
      <c r="AC83" s="7">
        <v>350</v>
      </c>
      <c r="AD83" s="11">
        <v>130</v>
      </c>
      <c r="AE83" s="11">
        <v>10</v>
      </c>
      <c r="AF83" s="11">
        <v>196</v>
      </c>
      <c r="AG83" s="40">
        <v>22</v>
      </c>
      <c r="AH83" s="40">
        <v>716.80000000000007</v>
      </c>
      <c r="AI83" s="40">
        <v>97.300000000000011</v>
      </c>
      <c r="AJ83" s="40">
        <v>62.7</v>
      </c>
      <c r="AK83" s="40">
        <v>6.8380000000000001</v>
      </c>
      <c r="AL83" s="40">
        <v>84.775601289362754</v>
      </c>
      <c r="AM83" s="40">
        <v>15.9</v>
      </c>
      <c r="AN83" s="40">
        <v>63336.361837470002</v>
      </c>
    </row>
    <row r="84" spans="1:40" x14ac:dyDescent="0.3">
      <c r="A84" s="31" t="s">
        <v>120</v>
      </c>
      <c r="B84" s="6">
        <v>104</v>
      </c>
      <c r="C84" s="5">
        <v>665203</v>
      </c>
      <c r="D84" s="5">
        <v>305370.00599999999</v>
      </c>
      <c r="E84" s="6">
        <v>84.4</v>
      </c>
      <c r="F84" s="6">
        <v>3.0231074543233065</v>
      </c>
      <c r="G84" s="17">
        <v>272</v>
      </c>
      <c r="H84" s="6">
        <v>0.60799999999999998</v>
      </c>
      <c r="I84" s="17">
        <v>55859</v>
      </c>
      <c r="J84" s="9">
        <v>63.6</v>
      </c>
      <c r="K84" s="9">
        <v>14.1</v>
      </c>
      <c r="L84" s="6">
        <v>1.6</v>
      </c>
      <c r="M84" s="9">
        <v>20.7</v>
      </c>
      <c r="N84" s="9">
        <v>1.6</v>
      </c>
      <c r="O84" s="9">
        <v>360.26792543543348</v>
      </c>
      <c r="P84" s="11">
        <v>12828</v>
      </c>
      <c r="Q84" s="11">
        <v>860661</v>
      </c>
      <c r="R84" s="9">
        <v>120.3</v>
      </c>
      <c r="S84" s="6">
        <v>117.5</v>
      </c>
      <c r="T84" s="30">
        <v>1241502999.8688784</v>
      </c>
      <c r="U84" s="9">
        <v>95.5</v>
      </c>
      <c r="V84" s="32">
        <v>389057.3</v>
      </c>
      <c r="W84" s="19">
        <v>4785138</v>
      </c>
      <c r="X84" s="19">
        <v>1117</v>
      </c>
      <c r="Y84" s="17">
        <v>7632</v>
      </c>
      <c r="Z84" s="16">
        <v>721.38030000000003</v>
      </c>
      <c r="AA84" s="7">
        <v>6276</v>
      </c>
      <c r="AB84" s="29">
        <v>38</v>
      </c>
      <c r="AC84" s="7">
        <v>246</v>
      </c>
      <c r="AD84" s="11">
        <v>332</v>
      </c>
      <c r="AE84" s="11">
        <v>25</v>
      </c>
      <c r="AF84" s="11">
        <v>1077</v>
      </c>
      <c r="AG84" s="40">
        <v>28</v>
      </c>
      <c r="AH84" s="40">
        <v>692.40000000000009</v>
      </c>
      <c r="AI84" s="40">
        <v>118</v>
      </c>
      <c r="AJ84" s="40">
        <v>72.900000000000006</v>
      </c>
      <c r="AK84" s="40">
        <v>26.916</v>
      </c>
      <c r="AL84" s="40">
        <v>88.431842822880043</v>
      </c>
      <c r="AM84" s="40">
        <v>63</v>
      </c>
      <c r="AN84" s="40">
        <v>265284.20209943998</v>
      </c>
    </row>
    <row r="85" spans="1:40" x14ac:dyDescent="0.3">
      <c r="A85" s="31" t="s">
        <v>121</v>
      </c>
      <c r="B85" s="6">
        <v>128.80000000000001</v>
      </c>
      <c r="C85" s="5">
        <v>200005</v>
      </c>
      <c r="D85" s="5">
        <v>29326.7621734475</v>
      </c>
      <c r="E85" s="6">
        <v>74.599999999999994</v>
      </c>
      <c r="F85" s="6">
        <v>3.995668130803721</v>
      </c>
      <c r="G85" s="17">
        <v>73</v>
      </c>
      <c r="H85" s="6">
        <v>0.374</v>
      </c>
      <c r="I85" s="17">
        <v>32744</v>
      </c>
      <c r="J85" s="9">
        <v>75.3</v>
      </c>
      <c r="K85" s="9">
        <v>13</v>
      </c>
      <c r="L85" s="6">
        <v>2.7</v>
      </c>
      <c r="M85" s="9">
        <v>9</v>
      </c>
      <c r="N85" s="9">
        <v>2.7</v>
      </c>
      <c r="O85" s="9">
        <v>313.62395577564092</v>
      </c>
      <c r="P85" s="11">
        <v>2224</v>
      </c>
      <c r="Q85" s="11">
        <v>-1653</v>
      </c>
      <c r="R85" s="9">
        <v>102.9</v>
      </c>
      <c r="S85" s="6">
        <v>94.3</v>
      </c>
      <c r="T85" s="30">
        <v>85221234.740334675</v>
      </c>
      <c r="U85" s="9">
        <v>97.7</v>
      </c>
      <c r="V85" s="32">
        <v>70294.2</v>
      </c>
      <c r="W85" s="19">
        <v>414340</v>
      </c>
      <c r="X85" s="19">
        <v>175</v>
      </c>
      <c r="Y85" s="17">
        <v>251</v>
      </c>
      <c r="Z85" s="16">
        <v>301</v>
      </c>
      <c r="AA85" s="7">
        <v>8834</v>
      </c>
      <c r="AB85" s="29">
        <v>5</v>
      </c>
      <c r="AC85" s="7">
        <v>138</v>
      </c>
      <c r="AD85" s="11">
        <v>108</v>
      </c>
      <c r="AE85" s="11">
        <v>4</v>
      </c>
      <c r="AF85" s="11">
        <v>180</v>
      </c>
      <c r="AG85" s="40">
        <v>23</v>
      </c>
      <c r="AH85" s="40">
        <v>708.30000000000007</v>
      </c>
      <c r="AI85" s="40">
        <v>116.60000000000001</v>
      </c>
      <c r="AJ85" s="40">
        <v>35</v>
      </c>
      <c r="AK85" s="40">
        <v>7.32</v>
      </c>
      <c r="AL85" s="40">
        <v>76.059850374064837</v>
      </c>
      <c r="AM85" s="40">
        <v>20.3</v>
      </c>
      <c r="AN85" s="40">
        <v>24725.898974069998</v>
      </c>
    </row>
    <row r="86" spans="1:40" x14ac:dyDescent="0.3">
      <c r="A86" s="31" t="s">
        <v>122</v>
      </c>
      <c r="B86" s="6">
        <v>100.4</v>
      </c>
      <c r="C86" s="5">
        <v>1839454</v>
      </c>
      <c r="D86" s="5">
        <v>88174.208169999998</v>
      </c>
      <c r="E86" s="6">
        <v>90.6</v>
      </c>
      <c r="F86" s="6">
        <v>1.6690647356159463</v>
      </c>
      <c r="G86" s="17">
        <v>30</v>
      </c>
      <c r="H86" s="6">
        <v>2.1999999999999999E-2</v>
      </c>
      <c r="I86" s="17">
        <v>45215</v>
      </c>
      <c r="J86" s="9">
        <v>28.8</v>
      </c>
      <c r="K86" s="9">
        <v>12.5</v>
      </c>
      <c r="L86" s="6">
        <v>0.5</v>
      </c>
      <c r="M86" s="9">
        <v>58.2</v>
      </c>
      <c r="N86" s="9">
        <v>0.5</v>
      </c>
      <c r="O86" s="9">
        <v>119.44866643069813</v>
      </c>
      <c r="P86" s="11">
        <v>1148</v>
      </c>
      <c r="Q86" s="11">
        <v>55557</v>
      </c>
      <c r="R86" s="9">
        <v>112.7</v>
      </c>
      <c r="S86" s="6">
        <v>109.9</v>
      </c>
      <c r="T86" s="30">
        <v>148724302.22665906</v>
      </c>
      <c r="U86" s="9">
        <v>94.5</v>
      </c>
      <c r="V86" s="19">
        <v>396145</v>
      </c>
      <c r="W86" s="17">
        <v>6.2110000000000003</v>
      </c>
      <c r="X86" s="19">
        <v>130</v>
      </c>
      <c r="Y86" s="16">
        <v>677.50130000000001</v>
      </c>
      <c r="Z86" s="7">
        <v>14479</v>
      </c>
      <c r="AA86" s="29">
        <v>3</v>
      </c>
      <c r="AB86" s="7">
        <v>0</v>
      </c>
      <c r="AC86" s="11">
        <v>54</v>
      </c>
      <c r="AD86" s="11">
        <v>4</v>
      </c>
      <c r="AE86" s="39">
        <v>0</v>
      </c>
      <c r="AF86" s="40">
        <v>1162</v>
      </c>
      <c r="AG86" s="40">
        <v>22</v>
      </c>
      <c r="AH86" s="40">
        <v>1259.1000000000001</v>
      </c>
      <c r="AI86" s="40">
        <v>134.70000000000002</v>
      </c>
      <c r="AJ86" s="40">
        <v>76.400000000000006</v>
      </c>
      <c r="AK86" s="40">
        <v>3.242</v>
      </c>
      <c r="AL86" s="40">
        <v>90.080577938316196</v>
      </c>
      <c r="AM86" s="40">
        <v>7.2</v>
      </c>
      <c r="AN86" s="40">
        <v>59321.074792749998</v>
      </c>
    </row>
    <row r="87" spans="1:40" x14ac:dyDescent="0.3">
      <c r="AE87" s="41"/>
      <c r="AF87" s="42"/>
      <c r="AG87" s="41"/>
      <c r="AH87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1ADF-5372-4558-A6F8-34792F002926}">
  <dimension ref="A1:C37"/>
  <sheetViews>
    <sheetView topLeftCell="A15" workbookViewId="0">
      <selection sqref="A1:C37"/>
    </sheetView>
  </sheetViews>
  <sheetFormatPr defaultRowHeight="14.4" x14ac:dyDescent="0.3"/>
  <cols>
    <col min="1" max="1" width="23.44140625" customWidth="1"/>
    <col min="2" max="2" width="19.109375" customWidth="1"/>
    <col min="3" max="3" width="9.21875" bestFit="1" customWidth="1"/>
  </cols>
  <sheetData>
    <row r="1" spans="1:3" ht="31.2" x14ac:dyDescent="0.3">
      <c r="A1" s="50" t="s">
        <v>214</v>
      </c>
      <c r="B1" s="50" t="s">
        <v>215</v>
      </c>
      <c r="C1" s="51" t="s">
        <v>216</v>
      </c>
    </row>
    <row r="2" spans="1:3" ht="15.6" x14ac:dyDescent="0.3">
      <c r="A2" s="50" t="s">
        <v>176</v>
      </c>
      <c r="B2" s="50" t="s">
        <v>219</v>
      </c>
      <c r="C2" s="53">
        <v>1.116E-6</v>
      </c>
    </row>
    <row r="3" spans="1:3" ht="15.6" x14ac:dyDescent="0.3">
      <c r="A3" s="50" t="s">
        <v>177</v>
      </c>
      <c r="B3" s="50" t="s">
        <v>218</v>
      </c>
      <c r="C3" s="53">
        <v>2.5670000000000002E-6</v>
      </c>
    </row>
    <row r="4" spans="1:3" ht="15.6" x14ac:dyDescent="0.3">
      <c r="A4" s="50" t="s">
        <v>178</v>
      </c>
      <c r="B4" s="50" t="s">
        <v>218</v>
      </c>
      <c r="C4" s="53">
        <v>5.4550000000000001E-7</v>
      </c>
    </row>
    <row r="5" spans="1:3" ht="15.6" x14ac:dyDescent="0.3">
      <c r="A5" s="50" t="s">
        <v>179</v>
      </c>
      <c r="B5" s="50" t="s">
        <v>218</v>
      </c>
      <c r="C5" s="53">
        <v>8.5649999999999997E-7</v>
      </c>
    </row>
    <row r="6" spans="1:3" ht="15.6" x14ac:dyDescent="0.3">
      <c r="A6" s="50" t="s">
        <v>180</v>
      </c>
      <c r="B6" s="50" t="s">
        <v>219</v>
      </c>
      <c r="C6" s="50">
        <v>2.6879999999999997E-4</v>
      </c>
    </row>
    <row r="7" spans="1:3" ht="15.6" x14ac:dyDescent="0.3">
      <c r="A7" s="50" t="s">
        <v>181</v>
      </c>
      <c r="B7" s="50" t="s">
        <v>218</v>
      </c>
      <c r="C7" s="53">
        <v>2.2200000000000001E-5</v>
      </c>
    </row>
    <row r="8" spans="1:3" ht="15.6" x14ac:dyDescent="0.3">
      <c r="A8" s="50" t="s">
        <v>182</v>
      </c>
      <c r="B8" s="50" t="s">
        <v>219</v>
      </c>
      <c r="C8" s="53">
        <v>5.893E-5</v>
      </c>
    </row>
    <row r="9" spans="1:3" ht="15.6" x14ac:dyDescent="0.3">
      <c r="A9" s="50" t="s">
        <v>183</v>
      </c>
      <c r="B9" s="50" t="s">
        <v>218</v>
      </c>
      <c r="C9" s="53">
        <v>2.83E-5</v>
      </c>
    </row>
    <row r="10" spans="1:3" ht="15.6" x14ac:dyDescent="0.3">
      <c r="A10" s="50" t="s">
        <v>184</v>
      </c>
      <c r="B10" s="50" t="s">
        <v>218</v>
      </c>
      <c r="C10" s="53">
        <v>6.3459999999999999E-6</v>
      </c>
    </row>
    <row r="11" spans="1:3" ht="15.6" x14ac:dyDescent="0.3">
      <c r="A11" s="50" t="s">
        <v>185</v>
      </c>
      <c r="B11" s="50" t="s">
        <v>219</v>
      </c>
      <c r="C11" s="50">
        <v>6.4599999999999996E-3</v>
      </c>
    </row>
    <row r="12" spans="1:3" ht="15.6" x14ac:dyDescent="0.3">
      <c r="A12" s="50" t="s">
        <v>186</v>
      </c>
      <c r="B12" s="50" t="s">
        <v>218</v>
      </c>
      <c r="C12" s="53">
        <v>2.5869999999999999E-9</v>
      </c>
    </row>
    <row r="13" spans="1:3" ht="15.6" x14ac:dyDescent="0.3">
      <c r="A13" s="50" t="s">
        <v>187</v>
      </c>
      <c r="B13" s="50" t="s">
        <v>218</v>
      </c>
      <c r="C13" s="53">
        <v>2.251E-7</v>
      </c>
    </row>
    <row r="14" spans="1:3" ht="15.6" x14ac:dyDescent="0.3">
      <c r="A14" s="50" t="s">
        <v>188</v>
      </c>
      <c r="B14" s="50" t="s">
        <v>218</v>
      </c>
      <c r="C14" s="50">
        <v>2.342E-2</v>
      </c>
    </row>
    <row r="15" spans="1:3" ht="15.6" x14ac:dyDescent="0.3">
      <c r="A15" s="50" t="s">
        <v>189</v>
      </c>
      <c r="B15" s="50" t="s">
        <v>218</v>
      </c>
      <c r="C15" s="53">
        <v>6.7589999999999995E-5</v>
      </c>
    </row>
    <row r="16" spans="1:3" ht="15.6" x14ac:dyDescent="0.3">
      <c r="A16" s="50" t="s">
        <v>190</v>
      </c>
      <c r="B16" s="50" t="s">
        <v>217</v>
      </c>
      <c r="C16" s="50">
        <v>4.1840000000000002E-2</v>
      </c>
    </row>
    <row r="17" spans="1:3" ht="15.6" x14ac:dyDescent="0.3">
      <c r="A17" s="50" t="s">
        <v>191</v>
      </c>
      <c r="B17" s="50" t="s">
        <v>217</v>
      </c>
      <c r="C17" s="53">
        <v>5.7040000000000002E-9</v>
      </c>
    </row>
    <row r="18" spans="1:3" ht="15.6" x14ac:dyDescent="0.3">
      <c r="A18" s="50" t="s">
        <v>192</v>
      </c>
      <c r="B18" s="50" t="s">
        <v>219</v>
      </c>
      <c r="C18" s="50">
        <v>7.1650000000000001E-4</v>
      </c>
    </row>
    <row r="19" spans="1:3" ht="15.6" x14ac:dyDescent="0.3">
      <c r="A19" s="50" t="s">
        <v>193</v>
      </c>
      <c r="B19" s="50" t="s">
        <v>219</v>
      </c>
      <c r="C19" s="50">
        <v>6.5750000000000001E-3</v>
      </c>
    </row>
    <row r="20" spans="1:3" ht="15.6" x14ac:dyDescent="0.3">
      <c r="A20" s="50" t="s">
        <v>194</v>
      </c>
      <c r="B20" s="50" t="s">
        <v>218</v>
      </c>
      <c r="C20" s="50">
        <v>3.5349999999999999E-3</v>
      </c>
    </row>
    <row r="21" spans="1:3" ht="15.6" x14ac:dyDescent="0.3">
      <c r="A21" s="50" t="s">
        <v>195</v>
      </c>
      <c r="B21" s="50" t="s">
        <v>219</v>
      </c>
      <c r="C21" s="53">
        <v>1.199E-5</v>
      </c>
    </row>
    <row r="22" spans="1:3" ht="15.6" x14ac:dyDescent="0.3">
      <c r="A22" s="50" t="s">
        <v>196</v>
      </c>
      <c r="B22" s="50" t="s">
        <v>218</v>
      </c>
      <c r="C22" s="53">
        <v>2.365E-8</v>
      </c>
    </row>
    <row r="23" spans="1:3" ht="15.6" x14ac:dyDescent="0.3">
      <c r="A23" s="50" t="s">
        <v>197</v>
      </c>
      <c r="B23" s="50" t="s">
        <v>217</v>
      </c>
      <c r="C23" s="50">
        <v>3.8779999999999999E-3</v>
      </c>
    </row>
    <row r="24" spans="1:3" ht="15.6" x14ac:dyDescent="0.3">
      <c r="A24" s="50" t="s">
        <v>198</v>
      </c>
      <c r="B24" s="50" t="s">
        <v>218</v>
      </c>
      <c r="C24" s="53">
        <v>1.9539999999999999E-5</v>
      </c>
    </row>
    <row r="25" spans="1:3" ht="15.6" x14ac:dyDescent="0.3">
      <c r="A25" s="50" t="s">
        <v>199</v>
      </c>
      <c r="B25" s="50" t="s">
        <v>218</v>
      </c>
      <c r="C25" s="50">
        <v>4.1050000000000003E-2</v>
      </c>
    </row>
    <row r="26" spans="1:3" ht="15.6" x14ac:dyDescent="0.3">
      <c r="A26" s="50" t="s">
        <v>200</v>
      </c>
      <c r="B26" s="50" t="s">
        <v>218</v>
      </c>
      <c r="C26" s="50">
        <v>2.1100000000000001E-2</v>
      </c>
    </row>
    <row r="27" spans="1:3" ht="15.6" x14ac:dyDescent="0.3">
      <c r="A27" s="50" t="s">
        <v>201</v>
      </c>
      <c r="B27" s="50" t="s">
        <v>219</v>
      </c>
      <c r="C27" s="50">
        <v>1.1140000000000001E-2</v>
      </c>
    </row>
    <row r="28" spans="1:3" ht="15.6" x14ac:dyDescent="0.3">
      <c r="A28" s="50" t="s">
        <v>202</v>
      </c>
      <c r="B28" s="50" t="s">
        <v>218</v>
      </c>
      <c r="C28" s="53">
        <v>2.2470000000000001E-11</v>
      </c>
    </row>
    <row r="29" spans="1:3" ht="15.6" x14ac:dyDescent="0.3">
      <c r="A29" s="50" t="s">
        <v>203</v>
      </c>
      <c r="B29" s="50" t="s">
        <v>220</v>
      </c>
      <c r="C29" s="53">
        <v>2.376E-27</v>
      </c>
    </row>
    <row r="30" spans="1:3" ht="15.6" x14ac:dyDescent="0.3">
      <c r="A30" s="50" t="s">
        <v>204</v>
      </c>
      <c r="B30" s="50" t="s">
        <v>218</v>
      </c>
      <c r="C30" s="50">
        <v>2.7389999999999999E-4</v>
      </c>
    </row>
    <row r="31" spans="1:3" ht="15.6" x14ac:dyDescent="0.3">
      <c r="A31" s="50" t="s">
        <v>205</v>
      </c>
      <c r="B31" s="50" t="s">
        <v>217</v>
      </c>
      <c r="C31" s="53">
        <v>5.959E-6</v>
      </c>
    </row>
    <row r="32" spans="1:3" ht="15.6" x14ac:dyDescent="0.3">
      <c r="A32" s="50" t="s">
        <v>206</v>
      </c>
      <c r="B32" s="50" t="s">
        <v>217</v>
      </c>
      <c r="C32" s="53">
        <v>9.2840000000000003E-8</v>
      </c>
    </row>
    <row r="33" spans="1:3" ht="15.6" x14ac:dyDescent="0.3">
      <c r="A33" s="50" t="s">
        <v>207</v>
      </c>
      <c r="B33" s="50" t="s">
        <v>218</v>
      </c>
      <c r="C33" s="53">
        <v>1.0210000000000001E-5</v>
      </c>
    </row>
    <row r="34" spans="1:3" ht="15.6" x14ac:dyDescent="0.3">
      <c r="A34" s="50" t="s">
        <v>208</v>
      </c>
      <c r="B34" s="50" t="s">
        <v>217</v>
      </c>
      <c r="C34" s="53">
        <v>2.8440000000000001E-11</v>
      </c>
    </row>
    <row r="35" spans="1:3" ht="15.6" x14ac:dyDescent="0.3">
      <c r="A35" s="50" t="s">
        <v>209</v>
      </c>
      <c r="B35" s="50" t="s">
        <v>219</v>
      </c>
      <c r="C35" s="53">
        <v>3.0769999999999997E-8</v>
      </c>
    </row>
    <row r="36" spans="1:3" ht="15.6" x14ac:dyDescent="0.3">
      <c r="A36" s="50" t="s">
        <v>210</v>
      </c>
      <c r="B36" s="50" t="s">
        <v>217</v>
      </c>
      <c r="C36" s="50">
        <v>1E-4</v>
      </c>
    </row>
    <row r="37" spans="1:3" ht="15.6" x14ac:dyDescent="0.3">
      <c r="A37" s="50" t="s">
        <v>211</v>
      </c>
      <c r="B37" s="50" t="s">
        <v>220</v>
      </c>
      <c r="C37" s="53">
        <v>2.9489999999999998E-10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6FA1-4416-4DDD-8C1A-14B5003DF4AB}">
  <dimension ref="A1:AL38"/>
  <sheetViews>
    <sheetView zoomScale="85" workbookViewId="0">
      <selection sqref="A1:AL38"/>
    </sheetView>
  </sheetViews>
  <sheetFormatPr defaultRowHeight="14.4" x14ac:dyDescent="0.3"/>
  <cols>
    <col min="1" max="2" width="5.77734375" customWidth="1"/>
    <col min="3" max="3" width="5.77734375" style="56" customWidth="1"/>
    <col min="4" max="8" width="5.77734375" customWidth="1"/>
    <col min="9" max="9" width="5.77734375" style="54" customWidth="1"/>
    <col min="10" max="11" width="5.77734375" customWidth="1"/>
    <col min="12" max="13" width="5.77734375" style="56" customWidth="1"/>
    <col min="14" max="20" width="5.77734375" customWidth="1"/>
    <col min="21" max="21" width="5.77734375" style="54" customWidth="1"/>
    <col min="22" max="23" width="5.77734375" customWidth="1"/>
    <col min="24" max="25" width="5.77734375" style="54" customWidth="1"/>
    <col min="26" max="26" width="5.77734375" customWidth="1"/>
    <col min="27" max="28" width="5.77734375" style="54" customWidth="1"/>
    <col min="29" max="38" width="5.77734375" customWidth="1"/>
  </cols>
  <sheetData>
    <row r="1" spans="1:38" ht="24" x14ac:dyDescent="0.3">
      <c r="A1" s="68"/>
      <c r="B1" s="62" t="s">
        <v>212</v>
      </c>
      <c r="C1" s="63" t="s">
        <v>262</v>
      </c>
      <c r="D1" s="62" t="s">
        <v>263</v>
      </c>
      <c r="E1" s="62" t="s">
        <v>264</v>
      </c>
      <c r="F1" s="62" t="s">
        <v>265</v>
      </c>
      <c r="G1" s="62" t="s">
        <v>266</v>
      </c>
      <c r="H1" s="62" t="s">
        <v>267</v>
      </c>
      <c r="I1" s="64" t="s">
        <v>268</v>
      </c>
      <c r="J1" s="62" t="s">
        <v>269</v>
      </c>
      <c r="K1" s="62" t="s">
        <v>270</v>
      </c>
      <c r="L1" s="63" t="s">
        <v>271</v>
      </c>
      <c r="M1" s="63" t="s">
        <v>272</v>
      </c>
      <c r="N1" s="62" t="s">
        <v>273</v>
      </c>
      <c r="O1" s="62" t="s">
        <v>274</v>
      </c>
      <c r="P1" s="62" t="s">
        <v>275</v>
      </c>
      <c r="Q1" s="62" t="s">
        <v>276</v>
      </c>
      <c r="R1" s="62" t="s">
        <v>278</v>
      </c>
      <c r="S1" s="62" t="s">
        <v>277</v>
      </c>
      <c r="T1" s="62" t="s">
        <v>279</v>
      </c>
      <c r="U1" s="62" t="s">
        <v>280</v>
      </c>
      <c r="V1" s="62" t="s">
        <v>281</v>
      </c>
      <c r="W1" s="62" t="s">
        <v>282</v>
      </c>
      <c r="X1" s="62" t="s">
        <v>283</v>
      </c>
      <c r="Y1" s="62" t="s">
        <v>284</v>
      </c>
      <c r="Z1" s="62" t="s">
        <v>285</v>
      </c>
      <c r="AA1" s="62" t="s">
        <v>286</v>
      </c>
      <c r="AB1" s="62" t="s">
        <v>287</v>
      </c>
      <c r="AC1" s="62" t="s">
        <v>288</v>
      </c>
      <c r="AD1" s="62" t="s">
        <v>289</v>
      </c>
      <c r="AE1" s="62" t="s">
        <v>290</v>
      </c>
      <c r="AF1" s="62" t="s">
        <v>291</v>
      </c>
      <c r="AG1" s="62" t="s">
        <v>292</v>
      </c>
      <c r="AH1" s="62" t="s">
        <v>293</v>
      </c>
      <c r="AI1" s="62" t="s">
        <v>294</v>
      </c>
      <c r="AJ1" s="62" t="s">
        <v>295</v>
      </c>
      <c r="AK1" s="62" t="s">
        <v>296</v>
      </c>
      <c r="AL1" s="62" t="s">
        <v>297</v>
      </c>
    </row>
    <row r="2" spans="1:38" x14ac:dyDescent="0.3">
      <c r="A2" s="68" t="s">
        <v>212</v>
      </c>
      <c r="B2" s="65">
        <v>1</v>
      </c>
      <c r="C2" s="66">
        <v>-0.24840000000000001</v>
      </c>
      <c r="D2" s="65">
        <v>-0.40350000000000003</v>
      </c>
      <c r="E2" s="65">
        <v>-0.50309999999999999</v>
      </c>
      <c r="F2" s="65">
        <v>0.86660000000000004</v>
      </c>
      <c r="G2" s="65">
        <v>-0.50870000000000004</v>
      </c>
      <c r="H2" s="65">
        <v>-6.8500000000000005E-2</v>
      </c>
      <c r="I2" s="65">
        <v>-0.26279999999999998</v>
      </c>
      <c r="J2" s="65">
        <v>0.42630000000000001</v>
      </c>
      <c r="K2" s="65">
        <v>0.97519999999999996</v>
      </c>
      <c r="L2" s="66">
        <v>-0.1158</v>
      </c>
      <c r="M2" s="66">
        <v>-8.9499999999999996E-2</v>
      </c>
      <c r="N2" s="65">
        <v>-2.01E-2</v>
      </c>
      <c r="O2" s="65">
        <v>-6.1699999999999998E-2</v>
      </c>
      <c r="P2" s="65">
        <v>-0.13830000000000001</v>
      </c>
      <c r="Q2" s="65">
        <v>0.1061</v>
      </c>
      <c r="R2" s="65">
        <v>-0.06</v>
      </c>
      <c r="S2" s="65">
        <v>-2.5000000000000001E-2</v>
      </c>
      <c r="T2" s="65">
        <v>9.4799999999999995E-2</v>
      </c>
      <c r="U2" s="65">
        <v>-0.50839999999999996</v>
      </c>
      <c r="V2" s="65">
        <v>6.88E-2</v>
      </c>
      <c r="W2" s="65">
        <v>1.49E-2</v>
      </c>
      <c r="X2" s="65">
        <v>-5.6599999999999998E-2</v>
      </c>
      <c r="Y2" s="65">
        <v>-8.5000000000000006E-3</v>
      </c>
      <c r="Z2" s="65">
        <v>-5.8299999999999998E-2</v>
      </c>
      <c r="AA2" s="65">
        <v>-0.30609999999999998</v>
      </c>
      <c r="AB2" s="65">
        <v>-0.13950000000000001</v>
      </c>
      <c r="AC2" s="65">
        <v>-7.6300000000000007E-2</v>
      </c>
      <c r="AD2" s="65">
        <v>-0.21629999999999999</v>
      </c>
      <c r="AE2" s="65">
        <v>1.09E-2</v>
      </c>
      <c r="AF2" s="65">
        <v>5.8099999999999999E-2</v>
      </c>
      <c r="AG2" s="65">
        <v>-4.8999999999999998E-3</v>
      </c>
      <c r="AH2" s="65">
        <v>2.1600000000000001E-2</v>
      </c>
      <c r="AI2" s="65">
        <v>0.2883</v>
      </c>
      <c r="AJ2" s="65">
        <v>4.7699999999999999E-2</v>
      </c>
      <c r="AK2" s="65">
        <v>-0.1263</v>
      </c>
      <c r="AL2" s="65">
        <v>-0.22159999999999999</v>
      </c>
    </row>
    <row r="3" spans="1:38" x14ac:dyDescent="0.3">
      <c r="A3" s="68" t="s">
        <v>262</v>
      </c>
      <c r="B3" s="66">
        <v>-0.24840000000000001</v>
      </c>
      <c r="C3" s="66">
        <v>1</v>
      </c>
      <c r="D3" s="66">
        <v>4.7300000000000002E-2</v>
      </c>
      <c r="E3" s="66">
        <v>-5.2900000000000003E-2</v>
      </c>
      <c r="F3" s="66">
        <v>-0.20369999999999999</v>
      </c>
      <c r="G3" s="66">
        <v>0.34329999999999999</v>
      </c>
      <c r="H3" s="66">
        <v>0.26390000000000002</v>
      </c>
      <c r="I3" s="66">
        <v>0.38669999999999999</v>
      </c>
      <c r="J3" s="66">
        <v>-1.49E-2</v>
      </c>
      <c r="K3" s="66">
        <v>-0.23</v>
      </c>
      <c r="L3" s="66">
        <v>0.89529999999999998</v>
      </c>
      <c r="M3" s="66">
        <v>0.89349999999999996</v>
      </c>
      <c r="N3" s="66">
        <v>4.6199999999999998E-2</v>
      </c>
      <c r="O3" s="66">
        <v>-0.17699999999999999</v>
      </c>
      <c r="P3" s="66">
        <v>0.1623</v>
      </c>
      <c r="Q3" s="66">
        <v>4.4499999999999998E-2</v>
      </c>
      <c r="R3" s="66">
        <v>-7.6300000000000007E-2</v>
      </c>
      <c r="S3" s="66">
        <v>-7.51E-2</v>
      </c>
      <c r="T3" s="66">
        <v>0.17760000000000001</v>
      </c>
      <c r="U3" s="66">
        <v>0.43990000000000001</v>
      </c>
      <c r="V3" s="66">
        <v>-0.29020000000000001</v>
      </c>
      <c r="W3" s="66">
        <v>3.9899999999999998E-2</v>
      </c>
      <c r="X3" s="66">
        <v>0.22789999999999999</v>
      </c>
      <c r="Y3" s="66">
        <v>0.32400000000000001</v>
      </c>
      <c r="Z3" s="66">
        <v>-7.7799999999999994E-2</v>
      </c>
      <c r="AA3" s="66">
        <v>0.51739999999999997</v>
      </c>
      <c r="AB3" s="66">
        <v>0.44259999999999999</v>
      </c>
      <c r="AC3" s="66">
        <v>-0.22370000000000001</v>
      </c>
      <c r="AD3" s="66">
        <v>0.29239999999999999</v>
      </c>
      <c r="AE3" s="66">
        <v>0.14080000000000001</v>
      </c>
      <c r="AF3" s="66">
        <v>0.14860000000000001</v>
      </c>
      <c r="AG3" s="66">
        <v>0.33179999999999998</v>
      </c>
      <c r="AH3" s="66">
        <v>-1.8200000000000001E-2</v>
      </c>
      <c r="AI3" s="66">
        <v>-0.32319999999999999</v>
      </c>
      <c r="AJ3" s="66">
        <v>0.33739999999999998</v>
      </c>
      <c r="AK3" s="66">
        <v>0.25209999999999999</v>
      </c>
      <c r="AL3" s="66">
        <v>0.33429999999999999</v>
      </c>
    </row>
    <row r="4" spans="1:38" x14ac:dyDescent="0.3">
      <c r="A4" s="68" t="s">
        <v>263</v>
      </c>
      <c r="B4" s="65">
        <v>-0.40350000000000003</v>
      </c>
      <c r="C4" s="66">
        <v>4.7300000000000002E-2</v>
      </c>
      <c r="D4" s="65">
        <v>1</v>
      </c>
      <c r="E4" s="65">
        <v>1.47E-2</v>
      </c>
      <c r="F4" s="65">
        <v>-0.45900000000000002</v>
      </c>
      <c r="G4" s="65">
        <v>0.2336</v>
      </c>
      <c r="H4" s="65">
        <v>-0.17730000000000001</v>
      </c>
      <c r="I4" s="65">
        <v>-6.3399999999999998E-2</v>
      </c>
      <c r="J4" s="65">
        <v>-0.56030000000000002</v>
      </c>
      <c r="K4" s="65">
        <v>-0.40300000000000002</v>
      </c>
      <c r="L4" s="66">
        <v>-0.1154</v>
      </c>
      <c r="M4" s="66">
        <v>-0.1368</v>
      </c>
      <c r="N4" s="65">
        <v>-0.59540000000000004</v>
      </c>
      <c r="O4" s="65">
        <v>-0.15890000000000001</v>
      </c>
      <c r="P4" s="65">
        <v>-0.2387</v>
      </c>
      <c r="Q4" s="65">
        <v>-0.68030000000000002</v>
      </c>
      <c r="R4" s="65">
        <v>-0.1744</v>
      </c>
      <c r="S4" s="65">
        <v>0.61040000000000005</v>
      </c>
      <c r="T4" s="65">
        <v>0.37040000000000001</v>
      </c>
      <c r="U4" s="65">
        <v>0.16889999999999999</v>
      </c>
      <c r="V4" s="65">
        <v>-4.5199999999999997E-2</v>
      </c>
      <c r="W4" s="65">
        <v>-3.3099999999999997E-2</v>
      </c>
      <c r="X4" s="65">
        <v>-0.1056</v>
      </c>
      <c r="Y4" s="65">
        <v>-0.24759999999999999</v>
      </c>
      <c r="Z4" s="65">
        <v>-0.34250000000000003</v>
      </c>
      <c r="AA4" s="65">
        <v>-8.9499999999999996E-2</v>
      </c>
      <c r="AB4" s="65">
        <v>-0.21579999999999999</v>
      </c>
      <c r="AC4" s="65">
        <v>-0.1137</v>
      </c>
      <c r="AD4" s="65">
        <v>-5.7000000000000002E-3</v>
      </c>
      <c r="AE4" s="65">
        <v>-4.8399999999999999E-2</v>
      </c>
      <c r="AF4" s="65">
        <v>5.6500000000000002E-2</v>
      </c>
      <c r="AG4" s="65">
        <v>-0.1011</v>
      </c>
      <c r="AH4" s="65">
        <v>-0.12820000000000001</v>
      </c>
      <c r="AI4" s="65">
        <v>6.6000000000000003E-2</v>
      </c>
      <c r="AJ4" s="65">
        <v>-1.52E-2</v>
      </c>
      <c r="AK4" s="65">
        <v>-0.1212</v>
      </c>
      <c r="AL4" s="65">
        <v>-1.5E-3</v>
      </c>
    </row>
    <row r="5" spans="1:38" x14ac:dyDescent="0.3">
      <c r="A5" s="68" t="s">
        <v>264</v>
      </c>
      <c r="B5" s="65">
        <v>-0.50309999999999999</v>
      </c>
      <c r="C5" s="66">
        <v>-5.2900000000000003E-2</v>
      </c>
      <c r="D5" s="65">
        <v>1.47E-2</v>
      </c>
      <c r="E5" s="65">
        <v>1</v>
      </c>
      <c r="F5" s="65">
        <v>-0.36509999999999998</v>
      </c>
      <c r="G5" s="65">
        <v>-0.1216</v>
      </c>
      <c r="H5" s="65">
        <v>-0.2077</v>
      </c>
      <c r="I5" s="65">
        <v>-5.1999999999999998E-3</v>
      </c>
      <c r="J5" s="65">
        <v>-0.30480000000000002</v>
      </c>
      <c r="K5" s="65">
        <v>-0.53959999999999997</v>
      </c>
      <c r="L5" s="66">
        <v>-0.16639999999999999</v>
      </c>
      <c r="M5" s="66">
        <v>-0.1527</v>
      </c>
      <c r="N5" s="65">
        <v>-2.69E-2</v>
      </c>
      <c r="O5" s="65">
        <v>8.9899999999999994E-2</v>
      </c>
      <c r="P5" s="65">
        <v>-4.5499999999999999E-2</v>
      </c>
      <c r="Q5" s="65">
        <v>0.16880000000000001</v>
      </c>
      <c r="R5" s="65">
        <v>1.4500000000000001E-2</v>
      </c>
      <c r="S5" s="65">
        <v>-0.1192</v>
      </c>
      <c r="T5" s="65">
        <v>-0.20930000000000001</v>
      </c>
      <c r="U5" s="65">
        <v>0.29809999999999998</v>
      </c>
      <c r="V5" s="65">
        <v>-0.13869999999999999</v>
      </c>
      <c r="W5" s="65">
        <v>-1.4500000000000001E-2</v>
      </c>
      <c r="X5" s="65">
        <v>-0.23300000000000001</v>
      </c>
      <c r="Y5" s="65">
        <v>-0.13950000000000001</v>
      </c>
      <c r="Z5" s="65">
        <v>3.8600000000000002E-2</v>
      </c>
      <c r="AA5" s="65">
        <v>-0.2097</v>
      </c>
      <c r="AB5" s="65">
        <v>-0.23669999999999999</v>
      </c>
      <c r="AC5" s="65">
        <v>0.26300000000000001</v>
      </c>
      <c r="AD5" s="65">
        <v>-0.2177</v>
      </c>
      <c r="AE5" s="65">
        <v>-4.7199999999999999E-2</v>
      </c>
      <c r="AF5" s="65">
        <v>0.22270000000000001</v>
      </c>
      <c r="AG5" s="65">
        <v>4.3999999999999997E-2</v>
      </c>
      <c r="AH5" s="65">
        <v>0.2046</v>
      </c>
      <c r="AI5" s="65">
        <v>-0.1777</v>
      </c>
      <c r="AJ5" s="65">
        <v>-0.1095</v>
      </c>
      <c r="AK5" s="65">
        <v>4.6100000000000002E-2</v>
      </c>
      <c r="AL5" s="65">
        <v>-9.0499999999999997E-2</v>
      </c>
    </row>
    <row r="6" spans="1:38" x14ac:dyDescent="0.3">
      <c r="A6" s="68" t="s">
        <v>265</v>
      </c>
      <c r="B6" s="65">
        <v>0.86660000000000004</v>
      </c>
      <c r="C6" s="66">
        <v>-0.20369999999999999</v>
      </c>
      <c r="D6" s="65">
        <v>-0.45900000000000002</v>
      </c>
      <c r="E6" s="65">
        <v>-0.36509999999999998</v>
      </c>
      <c r="F6" s="65">
        <v>1</v>
      </c>
      <c r="G6" s="65">
        <v>-0.60299999999999998</v>
      </c>
      <c r="H6" s="65">
        <v>-0.2722</v>
      </c>
      <c r="I6" s="65">
        <v>-0.31159999999999999</v>
      </c>
      <c r="J6" s="65">
        <v>0.38969999999999999</v>
      </c>
      <c r="K6" s="65">
        <v>0.87549999999999994</v>
      </c>
      <c r="L6" s="66">
        <v>-1.89E-2</v>
      </c>
      <c r="M6" s="66">
        <v>1.12E-2</v>
      </c>
      <c r="N6" s="65">
        <v>-6.5500000000000003E-2</v>
      </c>
      <c r="O6" s="65">
        <v>-0.17069999999999999</v>
      </c>
      <c r="P6" s="65">
        <v>-5.6099999999999997E-2</v>
      </c>
      <c r="Q6" s="65">
        <v>0.2571</v>
      </c>
      <c r="R6" s="65">
        <v>3.8199999999999998E-2</v>
      </c>
      <c r="S6" s="65">
        <v>-0.22720000000000001</v>
      </c>
      <c r="T6" s="65">
        <v>-7.8E-2</v>
      </c>
      <c r="U6" s="65">
        <v>-0.35389999999999999</v>
      </c>
      <c r="V6" s="65">
        <v>0.1096</v>
      </c>
      <c r="W6" s="65">
        <v>-6.9500000000000006E-2</v>
      </c>
      <c r="X6" s="65">
        <v>-1.26E-2</v>
      </c>
      <c r="Y6" s="65">
        <v>-3.8999999999999998E-3</v>
      </c>
      <c r="Z6" s="65">
        <v>-1.8499999999999999E-2</v>
      </c>
      <c r="AA6" s="65">
        <v>-0.15079999999999999</v>
      </c>
      <c r="AB6" s="65">
        <v>-3.6600000000000001E-2</v>
      </c>
      <c r="AC6" s="65">
        <v>-0.14369999999999999</v>
      </c>
      <c r="AD6" s="65">
        <v>-0.2291</v>
      </c>
      <c r="AE6" s="65">
        <v>9.5699999999999993E-2</v>
      </c>
      <c r="AF6" s="65">
        <v>-8.6400000000000005E-2</v>
      </c>
      <c r="AG6" s="65">
        <v>-4.3E-3</v>
      </c>
      <c r="AH6" s="65">
        <v>-5.33E-2</v>
      </c>
      <c r="AI6" s="65">
        <v>6.0600000000000001E-2</v>
      </c>
      <c r="AJ6" s="65">
        <v>0.17699999999999999</v>
      </c>
      <c r="AK6" s="65">
        <v>-0.19139999999999999</v>
      </c>
      <c r="AL6" s="65">
        <v>-0.15079999999999999</v>
      </c>
    </row>
    <row r="7" spans="1:38" x14ac:dyDescent="0.3">
      <c r="A7" s="68" t="s">
        <v>266</v>
      </c>
      <c r="B7" s="65">
        <v>-0.50870000000000004</v>
      </c>
      <c r="C7" s="66">
        <v>0.34329999999999999</v>
      </c>
      <c r="D7" s="65">
        <v>0.2336</v>
      </c>
      <c r="E7" s="65">
        <v>-0.1216</v>
      </c>
      <c r="F7" s="65">
        <v>-0.60299999999999998</v>
      </c>
      <c r="G7" s="65">
        <v>1</v>
      </c>
      <c r="H7" s="65">
        <v>0.41489999999999999</v>
      </c>
      <c r="I7" s="65">
        <v>0.39779999999999999</v>
      </c>
      <c r="J7" s="65">
        <v>-0.1091</v>
      </c>
      <c r="K7" s="65">
        <v>-0.47060000000000002</v>
      </c>
      <c r="L7" s="66">
        <v>0.28699999999999998</v>
      </c>
      <c r="M7" s="66">
        <v>0.26279999999999998</v>
      </c>
      <c r="N7" s="65">
        <v>-7.5800000000000006E-2</v>
      </c>
      <c r="O7" s="65">
        <v>-0.14419999999999999</v>
      </c>
      <c r="P7" s="65">
        <v>0.17430000000000001</v>
      </c>
      <c r="Q7" s="65">
        <v>-0.21460000000000001</v>
      </c>
      <c r="R7" s="65">
        <v>4.8599999999999997E-2</v>
      </c>
      <c r="S7" s="65">
        <v>0.11269999999999999</v>
      </c>
      <c r="T7" s="65">
        <v>9.1999999999999998E-2</v>
      </c>
      <c r="U7" s="65">
        <v>0.1542</v>
      </c>
      <c r="V7" s="65">
        <v>-4.6399999999999997E-2</v>
      </c>
      <c r="W7" s="65">
        <v>0.15670000000000001</v>
      </c>
      <c r="X7" s="65">
        <v>0.1115</v>
      </c>
      <c r="Y7" s="65">
        <v>0.32229999999999998</v>
      </c>
      <c r="Z7" s="65">
        <v>1.4200000000000001E-2</v>
      </c>
      <c r="AA7" s="65">
        <v>0.40760000000000002</v>
      </c>
      <c r="AB7" s="65">
        <v>0.35920000000000002</v>
      </c>
      <c r="AC7" s="65">
        <v>7.2499999999999995E-2</v>
      </c>
      <c r="AD7" s="65">
        <v>-7.17E-2</v>
      </c>
      <c r="AE7" s="65">
        <v>0.38030000000000003</v>
      </c>
      <c r="AF7" s="65">
        <v>5.21E-2</v>
      </c>
      <c r="AG7" s="65">
        <v>0.15690000000000001</v>
      </c>
      <c r="AH7" s="65">
        <v>-0.3085</v>
      </c>
      <c r="AI7" s="65">
        <v>-3.6600000000000001E-2</v>
      </c>
      <c r="AJ7" s="65">
        <v>3.6600000000000001E-2</v>
      </c>
      <c r="AK7" s="65">
        <v>0.104</v>
      </c>
      <c r="AL7" s="65">
        <v>0.2155</v>
      </c>
    </row>
    <row r="8" spans="1:38" x14ac:dyDescent="0.3">
      <c r="A8" s="68" t="s">
        <v>267</v>
      </c>
      <c r="B8" s="65">
        <v>-6.8500000000000005E-2</v>
      </c>
      <c r="C8" s="66">
        <v>0.26390000000000002</v>
      </c>
      <c r="D8" s="65">
        <v>-0.17730000000000001</v>
      </c>
      <c r="E8" s="65">
        <v>-0.2077</v>
      </c>
      <c r="F8" s="65">
        <v>-0.2722</v>
      </c>
      <c r="G8" s="65">
        <v>0.41489999999999999</v>
      </c>
      <c r="H8" s="65">
        <v>1</v>
      </c>
      <c r="I8" s="65">
        <v>0.57740000000000002</v>
      </c>
      <c r="J8" s="65">
        <v>7.7299999999999994E-2</v>
      </c>
      <c r="K8" s="65">
        <v>-0.1119</v>
      </c>
      <c r="L8" s="66">
        <v>0.32050000000000001</v>
      </c>
      <c r="M8" s="66">
        <v>0.29659999999999997</v>
      </c>
      <c r="N8" s="65">
        <v>0.29139999999999999</v>
      </c>
      <c r="O8" s="65">
        <v>-0.18990000000000001</v>
      </c>
      <c r="P8" s="65">
        <v>0.38019999999999998</v>
      </c>
      <c r="Q8" s="65">
        <v>0.29330000000000001</v>
      </c>
      <c r="R8" s="65">
        <v>0.39269999999999999</v>
      </c>
      <c r="S8" s="65">
        <v>-0.3881</v>
      </c>
      <c r="T8" s="65">
        <v>-0.26869999999999999</v>
      </c>
      <c r="U8" s="65">
        <v>0.14760000000000001</v>
      </c>
      <c r="V8" s="65">
        <v>4.5499999999999999E-2</v>
      </c>
      <c r="W8" s="65">
        <v>7.22E-2</v>
      </c>
      <c r="X8" s="65">
        <v>0.2762</v>
      </c>
      <c r="Y8" s="65">
        <v>0.40970000000000001</v>
      </c>
      <c r="Z8" s="65">
        <v>0.13039999999999999</v>
      </c>
      <c r="AA8" s="65">
        <v>0.41170000000000001</v>
      </c>
      <c r="AB8" s="65">
        <v>0.42420000000000002</v>
      </c>
      <c r="AC8" s="65">
        <v>-3.95E-2</v>
      </c>
      <c r="AD8" s="65">
        <v>0.31669999999999998</v>
      </c>
      <c r="AE8" s="65">
        <v>0.1925</v>
      </c>
      <c r="AF8" s="65">
        <v>-6.2300000000000001E-2</v>
      </c>
      <c r="AG8" s="65">
        <v>0.1114</v>
      </c>
      <c r="AH8" s="65">
        <v>0.12479999999999999</v>
      </c>
      <c r="AI8" s="65">
        <v>0.25940000000000002</v>
      </c>
      <c r="AJ8" s="65">
        <v>2.5399999999999999E-2</v>
      </c>
      <c r="AK8" s="65">
        <v>4.2700000000000002E-2</v>
      </c>
      <c r="AL8" s="65">
        <v>0.1754</v>
      </c>
    </row>
    <row r="9" spans="1:38" s="54" customFormat="1" x14ac:dyDescent="0.3">
      <c r="A9" s="69" t="s">
        <v>268</v>
      </c>
      <c r="B9" s="65">
        <v>-0.26279999999999998</v>
      </c>
      <c r="C9" s="66">
        <v>0.38669999999999999</v>
      </c>
      <c r="D9" s="65">
        <v>-6.3399999999999998E-2</v>
      </c>
      <c r="E9" s="65">
        <v>-5.1999999999999998E-3</v>
      </c>
      <c r="F9" s="65">
        <v>-0.31159999999999999</v>
      </c>
      <c r="G9" s="65">
        <v>0.39779999999999999</v>
      </c>
      <c r="H9" s="65">
        <v>0.57740000000000002</v>
      </c>
      <c r="I9" s="65">
        <v>1</v>
      </c>
      <c r="J9" s="65">
        <v>-0.23250000000000001</v>
      </c>
      <c r="K9" s="65">
        <v>-0.28110000000000002</v>
      </c>
      <c r="L9" s="66">
        <v>0.4607</v>
      </c>
      <c r="M9" s="66">
        <v>0.43840000000000001</v>
      </c>
      <c r="N9" s="65">
        <v>0.36720000000000003</v>
      </c>
      <c r="O9" s="65">
        <v>6.9800000000000001E-2</v>
      </c>
      <c r="P9" s="65">
        <v>0.71489999999999998</v>
      </c>
      <c r="Q9" s="65">
        <v>0.48220000000000002</v>
      </c>
      <c r="R9" s="65">
        <v>0.36509999999999998</v>
      </c>
      <c r="S9" s="65">
        <v>-0.51339999999999997</v>
      </c>
      <c r="T9" s="65">
        <v>-0.54259999999999997</v>
      </c>
      <c r="U9" s="65">
        <v>0.33139999999999997</v>
      </c>
      <c r="V9" s="65">
        <v>0.12909999999999999</v>
      </c>
      <c r="W9" s="65">
        <v>0.42109999999999997</v>
      </c>
      <c r="X9" s="65">
        <v>0.39579999999999999</v>
      </c>
      <c r="Y9" s="65">
        <v>0.87470000000000003</v>
      </c>
      <c r="Z9" s="65">
        <v>0.16089999999999999</v>
      </c>
      <c r="AA9" s="65">
        <v>0.43109999999999998</v>
      </c>
      <c r="AB9" s="65">
        <v>0.30690000000000001</v>
      </c>
      <c r="AC9" s="65">
        <v>0.33839999999999998</v>
      </c>
      <c r="AD9" s="65">
        <v>0.32640000000000002</v>
      </c>
      <c r="AE9" s="65">
        <v>0.31680000000000003</v>
      </c>
      <c r="AF9" s="65">
        <v>-6.2700000000000006E-2</v>
      </c>
      <c r="AG9" s="65">
        <v>0.5131</v>
      </c>
      <c r="AH9" s="65">
        <v>0.1308</v>
      </c>
      <c r="AI9" s="65">
        <v>7.0599999999999996E-2</v>
      </c>
      <c r="AJ9" s="65">
        <v>-0.1196</v>
      </c>
      <c r="AK9" s="65">
        <v>0.25779999999999997</v>
      </c>
      <c r="AL9" s="65">
        <v>0.47189999999999999</v>
      </c>
    </row>
    <row r="10" spans="1:38" x14ac:dyDescent="0.3">
      <c r="A10" s="68" t="s">
        <v>269</v>
      </c>
      <c r="B10" s="65">
        <v>0.42630000000000001</v>
      </c>
      <c r="C10" s="66">
        <v>-1.49E-2</v>
      </c>
      <c r="D10" s="65">
        <v>-0.56030000000000002</v>
      </c>
      <c r="E10" s="65">
        <v>-0.30480000000000002</v>
      </c>
      <c r="F10" s="65">
        <v>0.38969999999999999</v>
      </c>
      <c r="G10" s="65">
        <v>-0.1091</v>
      </c>
      <c r="H10" s="65">
        <v>7.7299999999999994E-2</v>
      </c>
      <c r="I10" s="65">
        <v>-0.23250000000000001</v>
      </c>
      <c r="J10" s="65">
        <v>1</v>
      </c>
      <c r="K10" s="65">
        <v>0.44030000000000002</v>
      </c>
      <c r="L10" s="66">
        <v>-5.1400000000000001E-2</v>
      </c>
      <c r="M10" s="66">
        <v>-3.4599999999999999E-2</v>
      </c>
      <c r="N10" s="65">
        <v>0.28839999999999999</v>
      </c>
      <c r="O10" s="65">
        <v>2.2000000000000001E-3</v>
      </c>
      <c r="P10" s="65">
        <v>-3.3700000000000001E-2</v>
      </c>
      <c r="Q10" s="65">
        <v>0.12609999999999999</v>
      </c>
      <c r="R10" s="65">
        <v>-0.1118</v>
      </c>
      <c r="S10" s="65">
        <v>-4.5199999999999997E-2</v>
      </c>
      <c r="T10" s="65">
        <v>5.0099999999999999E-2</v>
      </c>
      <c r="U10" s="65">
        <v>-0.37869999999999998</v>
      </c>
      <c r="V10" s="65">
        <v>-1E-4</v>
      </c>
      <c r="W10" s="65">
        <v>4.5699999999999998E-2</v>
      </c>
      <c r="X10" s="65">
        <v>-0.2001</v>
      </c>
      <c r="Y10" s="65">
        <v>-9.1499999999999998E-2</v>
      </c>
      <c r="Z10" s="65">
        <v>0.50529999999999997</v>
      </c>
      <c r="AA10" s="65">
        <v>2.8899999999999999E-2</v>
      </c>
      <c r="AB10" s="65">
        <v>0.24110000000000001</v>
      </c>
      <c r="AC10" s="65">
        <v>-0.1258</v>
      </c>
      <c r="AD10" s="65">
        <v>3.6999999999999998E-2</v>
      </c>
      <c r="AE10" s="65">
        <v>3.6999999999999998E-2</v>
      </c>
      <c r="AF10" s="65">
        <v>0.13550000000000001</v>
      </c>
      <c r="AG10" s="65">
        <v>0.10630000000000001</v>
      </c>
      <c r="AH10" s="65">
        <v>-7.0400000000000004E-2</v>
      </c>
      <c r="AI10" s="65">
        <v>-2.3E-3</v>
      </c>
      <c r="AJ10" s="65">
        <v>0.1462</v>
      </c>
      <c r="AK10" s="65">
        <v>-5.5399999999999998E-2</v>
      </c>
      <c r="AL10" s="65">
        <v>9.64E-2</v>
      </c>
    </row>
    <row r="11" spans="1:38" x14ac:dyDescent="0.3">
      <c r="A11" s="68" t="s">
        <v>270</v>
      </c>
      <c r="B11" s="65">
        <v>0.97519999999999996</v>
      </c>
      <c r="C11" s="66">
        <v>-0.23</v>
      </c>
      <c r="D11" s="65">
        <v>-0.40300000000000002</v>
      </c>
      <c r="E11" s="65">
        <v>-0.53959999999999997</v>
      </c>
      <c r="F11" s="65">
        <v>0.87549999999999994</v>
      </c>
      <c r="G11" s="65">
        <v>-0.47060000000000002</v>
      </c>
      <c r="H11" s="65">
        <v>-0.1119</v>
      </c>
      <c r="I11" s="65">
        <v>-0.28110000000000002</v>
      </c>
      <c r="J11" s="65">
        <v>0.44030000000000002</v>
      </c>
      <c r="K11" s="65">
        <v>1</v>
      </c>
      <c r="L11" s="66">
        <v>-0.10879999999999999</v>
      </c>
      <c r="M11" s="66">
        <v>-8.09E-2</v>
      </c>
      <c r="N11" s="65">
        <v>-4.24E-2</v>
      </c>
      <c r="O11" s="65">
        <v>-2.8799999999999999E-2</v>
      </c>
      <c r="P11" s="65">
        <v>-0.20960000000000001</v>
      </c>
      <c r="Q11" s="65">
        <v>3.6900000000000002E-2</v>
      </c>
      <c r="R11" s="65">
        <v>-4.9000000000000002E-2</v>
      </c>
      <c r="S11" s="65">
        <v>1.4800000000000001E-2</v>
      </c>
      <c r="T11" s="65">
        <v>0.11749999999999999</v>
      </c>
      <c r="U11" s="65">
        <v>-0.52839999999999998</v>
      </c>
      <c r="V11" s="65">
        <v>6.4699999999999994E-2</v>
      </c>
      <c r="W11" s="65">
        <v>-4.1000000000000003E-3</v>
      </c>
      <c r="X11" s="65">
        <v>-2.5999999999999999E-2</v>
      </c>
      <c r="Y11" s="65">
        <v>-1E-3</v>
      </c>
      <c r="Z11" s="65">
        <v>-3.0200000000000001E-2</v>
      </c>
      <c r="AA11" s="65">
        <v>-0.27139999999999997</v>
      </c>
      <c r="AB11" s="65">
        <v>-0.13439999999999999</v>
      </c>
      <c r="AC11" s="65">
        <v>-2.3800000000000002E-2</v>
      </c>
      <c r="AD11" s="65">
        <v>-0.18090000000000001</v>
      </c>
      <c r="AE11" s="65">
        <v>-1.5E-3</v>
      </c>
      <c r="AF11" s="65">
        <v>6.5199999999999994E-2</v>
      </c>
      <c r="AG11" s="65">
        <v>2.01E-2</v>
      </c>
      <c r="AH11" s="65">
        <v>2.3400000000000001E-2</v>
      </c>
      <c r="AI11" s="65">
        <v>0.22159999999999999</v>
      </c>
      <c r="AJ11" s="65">
        <v>5.96E-2</v>
      </c>
      <c r="AK11" s="65">
        <v>-5.8799999999999998E-2</v>
      </c>
      <c r="AL11" s="65">
        <v>-0.1925</v>
      </c>
    </row>
    <row r="12" spans="1:38" ht="24" x14ac:dyDescent="0.3">
      <c r="A12" s="68" t="s">
        <v>271</v>
      </c>
      <c r="B12" s="66">
        <v>-0.1158</v>
      </c>
      <c r="C12" s="66">
        <v>0.89529999999999998</v>
      </c>
      <c r="D12" s="66">
        <v>-0.1154</v>
      </c>
      <c r="E12" s="66">
        <v>-0.16639999999999999</v>
      </c>
      <c r="F12" s="66">
        <v>-1.89E-2</v>
      </c>
      <c r="G12" s="66">
        <v>0.28699999999999998</v>
      </c>
      <c r="H12" s="66">
        <v>0.32050000000000001</v>
      </c>
      <c r="I12" s="66">
        <v>0.4607</v>
      </c>
      <c r="J12" s="66">
        <v>-5.1400000000000001E-2</v>
      </c>
      <c r="K12" s="66">
        <v>-0.10879999999999999</v>
      </c>
      <c r="L12" s="66">
        <v>1</v>
      </c>
      <c r="M12" s="66">
        <v>0.99670000000000003</v>
      </c>
      <c r="N12" s="67">
        <v>0.43959999999999999</v>
      </c>
      <c r="O12" s="66">
        <v>-0.16750000000000001</v>
      </c>
      <c r="P12" s="67">
        <v>0.56330000000000002</v>
      </c>
      <c r="Q12" s="66">
        <v>0.26240000000000002</v>
      </c>
      <c r="R12" s="66">
        <v>0.1142</v>
      </c>
      <c r="S12" s="66">
        <v>-0.32579999999999998</v>
      </c>
      <c r="T12" s="66">
        <v>-3.44E-2</v>
      </c>
      <c r="U12" s="66">
        <v>0.41470000000000001</v>
      </c>
      <c r="V12" s="66">
        <v>-0.25559999999999999</v>
      </c>
      <c r="W12" s="66">
        <v>-8.9800000000000005E-2</v>
      </c>
      <c r="X12" s="67">
        <v>0.48630000000000001</v>
      </c>
      <c r="Y12" s="66">
        <v>0.48380000000000001</v>
      </c>
      <c r="Z12" s="66">
        <v>-0.12939999999999999</v>
      </c>
      <c r="AA12" s="67">
        <v>0.59450000000000003</v>
      </c>
      <c r="AB12" s="66">
        <v>0.49</v>
      </c>
      <c r="AC12" s="66">
        <v>-0.31309999999999999</v>
      </c>
      <c r="AD12" s="66">
        <v>0.2424</v>
      </c>
      <c r="AE12" s="66">
        <v>0.2571</v>
      </c>
      <c r="AF12" s="66">
        <v>-1.9900000000000001E-2</v>
      </c>
      <c r="AG12" s="66">
        <v>0.30149999999999999</v>
      </c>
      <c r="AH12" s="66">
        <v>6.8000000000000005E-2</v>
      </c>
      <c r="AI12" s="66">
        <v>-0.30170000000000002</v>
      </c>
      <c r="AJ12" s="66">
        <v>0.26869999999999999</v>
      </c>
      <c r="AK12" s="66">
        <v>0.21279999999999999</v>
      </c>
      <c r="AL12" s="66">
        <v>0.29870000000000002</v>
      </c>
    </row>
    <row r="13" spans="1:38" ht="24" x14ac:dyDescent="0.3">
      <c r="A13" s="68" t="s">
        <v>272</v>
      </c>
      <c r="B13" s="66">
        <v>-8.9499999999999996E-2</v>
      </c>
      <c r="C13" s="66">
        <v>0.89349999999999996</v>
      </c>
      <c r="D13" s="66">
        <v>-0.1368</v>
      </c>
      <c r="E13" s="66">
        <v>-0.1527</v>
      </c>
      <c r="F13" s="66">
        <v>1.12E-2</v>
      </c>
      <c r="G13" s="66">
        <v>0.26279999999999998</v>
      </c>
      <c r="H13" s="66">
        <v>0.29659999999999997</v>
      </c>
      <c r="I13" s="66">
        <v>0.43840000000000001</v>
      </c>
      <c r="J13" s="66">
        <v>-3.4599999999999999E-2</v>
      </c>
      <c r="K13" s="66">
        <v>-8.09E-2</v>
      </c>
      <c r="L13" s="66">
        <v>0.99670000000000003</v>
      </c>
      <c r="M13" s="66">
        <v>1</v>
      </c>
      <c r="N13" s="66">
        <v>0.13819999999999999</v>
      </c>
      <c r="O13" s="66">
        <v>-0.17499999999999999</v>
      </c>
      <c r="P13" s="66">
        <v>0.34770000000000001</v>
      </c>
      <c r="Q13" s="66">
        <v>0.2641</v>
      </c>
      <c r="R13" s="66">
        <v>9.69E-2</v>
      </c>
      <c r="S13" s="66">
        <v>-0.3201</v>
      </c>
      <c r="T13" s="66">
        <v>-8.8999999999999999E-3</v>
      </c>
      <c r="U13" s="66">
        <v>0.39179999999999998</v>
      </c>
      <c r="V13" s="67">
        <v>0.45319999999999999</v>
      </c>
      <c r="W13" s="66">
        <v>-0.1011</v>
      </c>
      <c r="X13" s="67">
        <v>0.4743</v>
      </c>
      <c r="Y13" s="66">
        <v>0.47670000000000001</v>
      </c>
      <c r="Z13" s="66">
        <v>-0.14069999999999999</v>
      </c>
      <c r="AA13" s="66">
        <v>0.58799999999999997</v>
      </c>
      <c r="AB13" s="66">
        <v>0.4849</v>
      </c>
      <c r="AC13" s="67">
        <v>0.69479999999999997</v>
      </c>
      <c r="AD13" s="66">
        <v>0.22270000000000001</v>
      </c>
      <c r="AE13" s="66">
        <v>0.24060000000000001</v>
      </c>
      <c r="AF13" s="66">
        <v>-7.1999999999999998E-3</v>
      </c>
      <c r="AG13" s="66">
        <v>0.3256</v>
      </c>
      <c r="AH13" s="66">
        <v>8.6800000000000002E-2</v>
      </c>
      <c r="AI13" s="67">
        <v>0.59899999999999998</v>
      </c>
      <c r="AJ13" s="66">
        <v>0.27829999999999999</v>
      </c>
      <c r="AK13" s="66">
        <v>0.21820000000000001</v>
      </c>
      <c r="AL13" s="66">
        <v>0.2989</v>
      </c>
    </row>
    <row r="14" spans="1:38" x14ac:dyDescent="0.3">
      <c r="A14" s="68" t="s">
        <v>273</v>
      </c>
      <c r="B14" s="65">
        <v>-2.01E-2</v>
      </c>
      <c r="C14" s="66">
        <v>4.6199999999999998E-2</v>
      </c>
      <c r="D14" s="65">
        <v>-0.59540000000000004</v>
      </c>
      <c r="E14" s="65">
        <v>-2.69E-2</v>
      </c>
      <c r="F14" s="65">
        <v>-6.5500000000000003E-2</v>
      </c>
      <c r="G14" s="65">
        <v>-7.5800000000000006E-2</v>
      </c>
      <c r="H14" s="65">
        <v>0.29139999999999999</v>
      </c>
      <c r="I14" s="65">
        <v>0.36720000000000003</v>
      </c>
      <c r="J14" s="65">
        <v>0.28839999999999999</v>
      </c>
      <c r="K14" s="65">
        <v>-4.24E-2</v>
      </c>
      <c r="L14" s="67">
        <v>0.43959999999999999</v>
      </c>
      <c r="M14" s="66">
        <v>0.13819999999999999</v>
      </c>
      <c r="N14" s="65">
        <v>1</v>
      </c>
      <c r="O14" s="65">
        <v>0.51370000000000005</v>
      </c>
      <c r="P14" s="65">
        <v>0.22770000000000001</v>
      </c>
      <c r="Q14" s="65">
        <v>0.58379999999999999</v>
      </c>
      <c r="R14" s="65">
        <v>0.38879999999999998</v>
      </c>
      <c r="S14" s="65">
        <v>-0.56240000000000001</v>
      </c>
      <c r="T14" s="65">
        <v>-0.42899999999999999</v>
      </c>
      <c r="U14" s="65">
        <v>-8.0100000000000005E-2</v>
      </c>
      <c r="V14" s="65">
        <v>-6.3200000000000006E-2</v>
      </c>
      <c r="W14" s="65">
        <v>0.1598</v>
      </c>
      <c r="X14" s="65">
        <v>0.21460000000000001</v>
      </c>
      <c r="Y14" s="65">
        <v>0.43880000000000002</v>
      </c>
      <c r="Z14" s="65">
        <v>0.23719999999999999</v>
      </c>
      <c r="AA14" s="65">
        <v>0.32090000000000002</v>
      </c>
      <c r="AB14" s="65">
        <v>0.3775</v>
      </c>
      <c r="AC14" s="65">
        <v>0.16439999999999999</v>
      </c>
      <c r="AD14" s="65">
        <v>0.42520000000000002</v>
      </c>
      <c r="AE14" s="65">
        <v>-0.27850000000000003</v>
      </c>
      <c r="AF14" s="65">
        <v>2.2200000000000001E-2</v>
      </c>
      <c r="AG14" s="65">
        <v>0.2419</v>
      </c>
      <c r="AH14" s="65">
        <v>0.31369999999999998</v>
      </c>
      <c r="AI14" s="65">
        <v>-0.1166</v>
      </c>
      <c r="AJ14" s="65">
        <v>6.2399999999999997E-2</v>
      </c>
      <c r="AK14" s="65">
        <v>0.19339999999999999</v>
      </c>
      <c r="AL14" s="65">
        <v>0.3916</v>
      </c>
    </row>
    <row r="15" spans="1:38" x14ac:dyDescent="0.3">
      <c r="A15" s="68" t="s">
        <v>274</v>
      </c>
      <c r="B15" s="65">
        <v>-6.1699999999999998E-2</v>
      </c>
      <c r="C15" s="66">
        <v>-0.17699999999999999</v>
      </c>
      <c r="D15" s="65">
        <v>-0.15890000000000001</v>
      </c>
      <c r="E15" s="65">
        <v>8.9899999999999994E-2</v>
      </c>
      <c r="F15" s="65">
        <v>-0.17069999999999999</v>
      </c>
      <c r="G15" s="65">
        <v>-0.14419999999999999</v>
      </c>
      <c r="H15" s="65">
        <v>-0.18990000000000001</v>
      </c>
      <c r="I15" s="65">
        <v>6.9800000000000001E-2</v>
      </c>
      <c r="J15" s="65">
        <v>2.2000000000000001E-3</v>
      </c>
      <c r="K15" s="65">
        <v>-2.8799999999999999E-2</v>
      </c>
      <c r="L15" s="66">
        <v>-0.16750000000000001</v>
      </c>
      <c r="M15" s="66">
        <v>-0.17499999999999999</v>
      </c>
      <c r="N15" s="65">
        <v>0.51370000000000005</v>
      </c>
      <c r="O15" s="65">
        <v>1</v>
      </c>
      <c r="P15" s="65">
        <v>-0.1663</v>
      </c>
      <c r="Q15" s="65">
        <v>4.2799999999999998E-2</v>
      </c>
      <c r="R15" s="65">
        <v>2.7E-2</v>
      </c>
      <c r="S15" s="65">
        <v>2.0199999999999999E-2</v>
      </c>
      <c r="T15" s="65">
        <v>-0.1714</v>
      </c>
      <c r="U15" s="65">
        <v>-9.0200000000000002E-2</v>
      </c>
      <c r="V15" s="65">
        <v>0.24229999999999999</v>
      </c>
      <c r="W15" s="65">
        <v>9.0999999999999998E-2</v>
      </c>
      <c r="X15" s="65">
        <v>9.9599999999999994E-2</v>
      </c>
      <c r="Y15" s="65">
        <v>0.13600000000000001</v>
      </c>
      <c r="Z15" s="65">
        <v>-9.4E-2</v>
      </c>
      <c r="AA15" s="65">
        <v>-0.13439999999999999</v>
      </c>
      <c r="AB15" s="65">
        <v>-0.14530000000000001</v>
      </c>
      <c r="AC15" s="65">
        <v>9.9500000000000005E-2</v>
      </c>
      <c r="AD15" s="65">
        <v>0.3644</v>
      </c>
      <c r="AE15" s="65">
        <v>-0.30199999999999999</v>
      </c>
      <c r="AF15" s="65">
        <v>6.7400000000000002E-2</v>
      </c>
      <c r="AG15" s="65">
        <v>-8.7800000000000003E-2</v>
      </c>
      <c r="AH15" s="65">
        <v>0.27889999999999998</v>
      </c>
      <c r="AI15" s="65">
        <v>3.9E-2</v>
      </c>
      <c r="AJ15" s="65">
        <v>-0.24929999999999999</v>
      </c>
      <c r="AK15" s="65">
        <v>0.17269999999999999</v>
      </c>
      <c r="AL15" s="65">
        <v>9.7799999999999998E-2</v>
      </c>
    </row>
    <row r="16" spans="1:38" x14ac:dyDescent="0.3">
      <c r="A16" s="68" t="s">
        <v>275</v>
      </c>
      <c r="B16" s="65">
        <v>-0.13830000000000001</v>
      </c>
      <c r="C16" s="66">
        <v>0.1623</v>
      </c>
      <c r="D16" s="65">
        <v>-0.2387</v>
      </c>
      <c r="E16" s="65">
        <v>-4.5499999999999999E-2</v>
      </c>
      <c r="F16" s="65">
        <v>-5.6099999999999997E-2</v>
      </c>
      <c r="G16" s="65">
        <v>0.17430000000000001</v>
      </c>
      <c r="H16" s="65">
        <v>0.38019999999999998</v>
      </c>
      <c r="I16" s="65">
        <v>0.71489999999999998</v>
      </c>
      <c r="J16" s="65">
        <v>-3.3700000000000001E-2</v>
      </c>
      <c r="K16" s="65">
        <v>-0.20960000000000001</v>
      </c>
      <c r="L16" s="67">
        <v>0.56330000000000002</v>
      </c>
      <c r="M16" s="66">
        <v>0.34770000000000001</v>
      </c>
      <c r="N16" s="65">
        <v>0.22770000000000001</v>
      </c>
      <c r="O16" s="65">
        <v>-0.1663</v>
      </c>
      <c r="P16" s="65">
        <v>1</v>
      </c>
      <c r="Q16" s="65">
        <v>0.6613</v>
      </c>
      <c r="R16" s="65">
        <v>7.9500000000000001E-2</v>
      </c>
      <c r="S16" s="65">
        <v>-0.58730000000000004</v>
      </c>
      <c r="T16" s="65">
        <v>-0.52700000000000002</v>
      </c>
      <c r="U16" s="65">
        <v>0.40689999999999998</v>
      </c>
      <c r="V16" s="65">
        <v>0.30149999999999999</v>
      </c>
      <c r="W16" s="65">
        <v>0.20619999999999999</v>
      </c>
      <c r="X16" s="65">
        <v>0.41880000000000001</v>
      </c>
      <c r="Y16" s="65">
        <v>0.63519999999999999</v>
      </c>
      <c r="Z16" s="65">
        <v>0.31290000000000001</v>
      </c>
      <c r="AA16" s="65">
        <v>0.26140000000000002</v>
      </c>
      <c r="AB16" s="65">
        <v>0.1623</v>
      </c>
      <c r="AC16" s="65">
        <v>8.2900000000000001E-2</v>
      </c>
      <c r="AD16" s="65">
        <v>0.18640000000000001</v>
      </c>
      <c r="AE16" s="65">
        <v>0.42380000000000001</v>
      </c>
      <c r="AF16" s="65">
        <v>-0.28029999999999999</v>
      </c>
      <c r="AG16" s="65">
        <v>0.34489999999999998</v>
      </c>
      <c r="AH16" s="65">
        <v>-1.29E-2</v>
      </c>
      <c r="AI16" s="65">
        <v>0.1464</v>
      </c>
      <c r="AJ16" s="65">
        <v>-0.1308</v>
      </c>
      <c r="AK16" s="65">
        <v>0.1067</v>
      </c>
      <c r="AL16" s="65">
        <v>0.2482</v>
      </c>
    </row>
    <row r="17" spans="1:38" x14ac:dyDescent="0.3">
      <c r="A17" s="68" t="s">
        <v>276</v>
      </c>
      <c r="B17" s="65">
        <v>0.1061</v>
      </c>
      <c r="C17" s="66">
        <v>4.4499999999999998E-2</v>
      </c>
      <c r="D17" s="65">
        <v>-0.68030000000000002</v>
      </c>
      <c r="E17" s="65">
        <v>0.16880000000000001</v>
      </c>
      <c r="F17" s="65">
        <v>0.2571</v>
      </c>
      <c r="G17" s="65">
        <v>-0.21460000000000001</v>
      </c>
      <c r="H17" s="65">
        <v>0.29330000000000001</v>
      </c>
      <c r="I17" s="65">
        <v>0.48220000000000002</v>
      </c>
      <c r="J17" s="65">
        <v>0.12609999999999999</v>
      </c>
      <c r="K17" s="65">
        <v>3.6900000000000002E-2</v>
      </c>
      <c r="L17" s="66">
        <v>0.26240000000000002</v>
      </c>
      <c r="M17" s="66">
        <v>0.2641</v>
      </c>
      <c r="N17" s="65">
        <v>0.58379999999999999</v>
      </c>
      <c r="O17" s="65">
        <v>4.2799999999999998E-2</v>
      </c>
      <c r="P17" s="65">
        <v>0.6613</v>
      </c>
      <c r="Q17" s="65">
        <v>1</v>
      </c>
      <c r="R17" s="65">
        <v>0.34649999999999997</v>
      </c>
      <c r="S17" s="65">
        <v>-0.93149999999999999</v>
      </c>
      <c r="T17" s="65">
        <v>-0.75609999999999999</v>
      </c>
      <c r="U17" s="65">
        <v>0.3412</v>
      </c>
      <c r="V17" s="65">
        <v>0.123</v>
      </c>
      <c r="W17" s="65">
        <v>0.28170000000000001</v>
      </c>
      <c r="X17" s="65">
        <v>0.22589999999999999</v>
      </c>
      <c r="Y17" s="65">
        <v>0.57679999999999998</v>
      </c>
      <c r="Z17" s="65">
        <v>0.22189999999999999</v>
      </c>
      <c r="AA17" s="65">
        <v>0.187</v>
      </c>
      <c r="AB17" s="65">
        <v>0.25430000000000003</v>
      </c>
      <c r="AC17" s="65">
        <v>0.1651</v>
      </c>
      <c r="AD17" s="65">
        <v>0.1726</v>
      </c>
      <c r="AE17" s="65">
        <v>0.32150000000000001</v>
      </c>
      <c r="AF17" s="65">
        <v>-9.5000000000000001E-2</v>
      </c>
      <c r="AG17" s="65">
        <v>0.1804</v>
      </c>
      <c r="AH17" s="65">
        <v>0.2145</v>
      </c>
      <c r="AI17" s="65">
        <v>1.3599999999999999E-2</v>
      </c>
      <c r="AJ17" s="65">
        <v>0.1062</v>
      </c>
      <c r="AK17" s="65">
        <v>6.9500000000000006E-2</v>
      </c>
      <c r="AL17" s="65">
        <v>0.13109999999999999</v>
      </c>
    </row>
    <row r="18" spans="1:38" x14ac:dyDescent="0.3">
      <c r="A18" s="68" t="s">
        <v>278</v>
      </c>
      <c r="B18" s="65">
        <v>-0.06</v>
      </c>
      <c r="C18" s="66">
        <v>-7.6300000000000007E-2</v>
      </c>
      <c r="D18" s="65">
        <v>-0.1744</v>
      </c>
      <c r="E18" s="65">
        <v>1.4500000000000001E-2</v>
      </c>
      <c r="F18" s="65">
        <v>3.8199999999999998E-2</v>
      </c>
      <c r="G18" s="65">
        <v>4.8599999999999997E-2</v>
      </c>
      <c r="H18" s="65">
        <v>0.39269999999999999</v>
      </c>
      <c r="I18" s="65">
        <v>0.36509999999999998</v>
      </c>
      <c r="J18" s="65">
        <v>-0.1118</v>
      </c>
      <c r="K18" s="65">
        <v>-4.9000000000000002E-2</v>
      </c>
      <c r="L18" s="66">
        <v>0.1142</v>
      </c>
      <c r="M18" s="66">
        <v>9.69E-2</v>
      </c>
      <c r="N18" s="65">
        <v>0.38879999999999998</v>
      </c>
      <c r="O18" s="65">
        <v>2.7E-2</v>
      </c>
      <c r="P18" s="65">
        <v>7.9500000000000001E-2</v>
      </c>
      <c r="Q18" s="65">
        <v>0.34649999999999997</v>
      </c>
      <c r="R18" s="65">
        <v>1</v>
      </c>
      <c r="S18" s="65">
        <v>-0.63109999999999999</v>
      </c>
      <c r="T18" s="65">
        <v>-0.6855</v>
      </c>
      <c r="U18" s="65">
        <v>-0.1085</v>
      </c>
      <c r="V18" s="65">
        <v>-9.9199999999999997E-2</v>
      </c>
      <c r="W18" s="65">
        <v>-8.72E-2</v>
      </c>
      <c r="X18" s="65">
        <v>0.33710000000000001</v>
      </c>
      <c r="Y18" s="65">
        <v>0.32029999999999997</v>
      </c>
      <c r="Z18" s="65">
        <v>-1.49E-2</v>
      </c>
      <c r="AA18" s="65">
        <v>0.50880000000000003</v>
      </c>
      <c r="AB18" s="65">
        <v>0.44819999999999999</v>
      </c>
      <c r="AC18" s="65">
        <v>0.11360000000000001</v>
      </c>
      <c r="AD18" s="65">
        <v>0.12859999999999999</v>
      </c>
      <c r="AE18" s="65">
        <v>0.18559999999999999</v>
      </c>
      <c r="AF18" s="65">
        <v>-0.1951</v>
      </c>
      <c r="AG18" s="65">
        <v>2.4199999999999999E-2</v>
      </c>
      <c r="AH18" s="65">
        <v>0.27300000000000002</v>
      </c>
      <c r="AI18" s="65">
        <v>-6.7900000000000002E-2</v>
      </c>
      <c r="AJ18" s="65">
        <v>-0.1196</v>
      </c>
      <c r="AK18" s="65">
        <v>-0.25290000000000001</v>
      </c>
      <c r="AL18" s="65">
        <v>0.20780000000000001</v>
      </c>
    </row>
    <row r="19" spans="1:38" x14ac:dyDescent="0.3">
      <c r="A19" s="68" t="s">
        <v>277</v>
      </c>
      <c r="B19" s="65">
        <v>-2.5000000000000001E-2</v>
      </c>
      <c r="C19" s="66">
        <v>-7.51E-2</v>
      </c>
      <c r="D19" s="65">
        <v>0.61040000000000005</v>
      </c>
      <c r="E19" s="65">
        <v>-0.1192</v>
      </c>
      <c r="F19" s="65">
        <v>-0.22720000000000001</v>
      </c>
      <c r="G19" s="65">
        <v>0.11269999999999999</v>
      </c>
      <c r="H19" s="65">
        <v>-0.3881</v>
      </c>
      <c r="I19" s="65">
        <v>-0.51339999999999997</v>
      </c>
      <c r="J19" s="65">
        <v>-4.5199999999999997E-2</v>
      </c>
      <c r="K19" s="65">
        <v>1.4800000000000001E-2</v>
      </c>
      <c r="L19" s="66">
        <v>-0.32579999999999998</v>
      </c>
      <c r="M19" s="66">
        <v>-0.3201</v>
      </c>
      <c r="N19" s="65">
        <v>-0.56240000000000001</v>
      </c>
      <c r="O19" s="65">
        <v>2.0199999999999999E-2</v>
      </c>
      <c r="P19" s="65">
        <v>-0.58730000000000004</v>
      </c>
      <c r="Q19" s="65">
        <v>-0.93149999999999999</v>
      </c>
      <c r="R19" s="65">
        <v>-0.63109999999999999</v>
      </c>
      <c r="S19" s="65">
        <v>1</v>
      </c>
      <c r="T19" s="65">
        <v>0.84519999999999995</v>
      </c>
      <c r="U19" s="65">
        <v>-0.31159999999999999</v>
      </c>
      <c r="V19" s="65">
        <v>-9.3799999999999994E-2</v>
      </c>
      <c r="W19" s="65">
        <v>-0.13489999999999999</v>
      </c>
      <c r="X19" s="65">
        <v>-0.35549999999999998</v>
      </c>
      <c r="Y19" s="65">
        <v>-0.57369999999999999</v>
      </c>
      <c r="Z19" s="65">
        <v>-0.16800000000000001</v>
      </c>
      <c r="AA19" s="65">
        <v>-0.39050000000000001</v>
      </c>
      <c r="AB19" s="65">
        <v>-0.3962</v>
      </c>
      <c r="AC19" s="65">
        <v>-0.1232</v>
      </c>
      <c r="AD19" s="65">
        <v>-0.21210000000000001</v>
      </c>
      <c r="AE19" s="65">
        <v>-0.36930000000000002</v>
      </c>
      <c r="AF19" s="65">
        <v>0.18279999999999999</v>
      </c>
      <c r="AG19" s="65">
        <v>-0.1487</v>
      </c>
      <c r="AH19" s="65">
        <v>-0.22439999999999999</v>
      </c>
      <c r="AI19" s="65">
        <v>3.5099999999999999E-2</v>
      </c>
      <c r="AJ19" s="65">
        <v>-9.2100000000000001E-2</v>
      </c>
      <c r="AK19" s="65">
        <v>5.74E-2</v>
      </c>
      <c r="AL19" s="65">
        <v>-0.1769</v>
      </c>
    </row>
    <row r="20" spans="1:38" x14ac:dyDescent="0.3">
      <c r="A20" s="68" t="s">
        <v>279</v>
      </c>
      <c r="B20" s="65">
        <v>9.4799999999999995E-2</v>
      </c>
      <c r="C20" s="66">
        <v>0.17760000000000001</v>
      </c>
      <c r="D20" s="65">
        <v>0.37040000000000001</v>
      </c>
      <c r="E20" s="65">
        <v>-0.20930000000000001</v>
      </c>
      <c r="F20" s="65">
        <v>-7.8E-2</v>
      </c>
      <c r="G20" s="65">
        <v>9.1999999999999998E-2</v>
      </c>
      <c r="H20" s="65">
        <v>-0.26869999999999999</v>
      </c>
      <c r="I20" s="65">
        <v>-0.54259999999999997</v>
      </c>
      <c r="J20" s="65">
        <v>5.0099999999999999E-2</v>
      </c>
      <c r="K20" s="65">
        <v>0.11749999999999999</v>
      </c>
      <c r="L20" s="66">
        <v>-3.44E-2</v>
      </c>
      <c r="M20" s="66">
        <v>-8.8999999999999999E-3</v>
      </c>
      <c r="N20" s="65">
        <v>-0.42899999999999999</v>
      </c>
      <c r="O20" s="65">
        <v>-0.1714</v>
      </c>
      <c r="P20" s="65">
        <v>-0.52700000000000002</v>
      </c>
      <c r="Q20" s="65">
        <v>-0.75609999999999999</v>
      </c>
      <c r="R20" s="65">
        <v>-0.6855</v>
      </c>
      <c r="S20" s="65">
        <v>0.84519999999999995</v>
      </c>
      <c r="T20" s="65">
        <v>1</v>
      </c>
      <c r="U20" s="65">
        <v>-0.25530000000000003</v>
      </c>
      <c r="V20" s="65">
        <v>-0.1807</v>
      </c>
      <c r="W20" s="65">
        <v>-0.26519999999999999</v>
      </c>
      <c r="X20" s="65">
        <v>-0.2175</v>
      </c>
      <c r="Y20" s="65">
        <v>-0.5393</v>
      </c>
      <c r="Z20" s="65">
        <v>-0.23369999999999999</v>
      </c>
      <c r="AA20" s="65">
        <v>-0.19450000000000001</v>
      </c>
      <c r="AB20" s="65">
        <v>-0.16800000000000001</v>
      </c>
      <c r="AC20" s="65">
        <v>-0.28210000000000002</v>
      </c>
      <c r="AD20" s="65">
        <v>-0.184</v>
      </c>
      <c r="AE20" s="65">
        <v>-0.41649999999999998</v>
      </c>
      <c r="AF20" s="65">
        <v>0.16969999999999999</v>
      </c>
      <c r="AG20" s="65">
        <v>-5.9900000000000002E-2</v>
      </c>
      <c r="AH20" s="65">
        <v>-0.20910000000000001</v>
      </c>
      <c r="AI20" s="65">
        <v>1.6299999999999999E-2</v>
      </c>
      <c r="AJ20" s="65">
        <v>0.19789999999999999</v>
      </c>
      <c r="AK20" s="65">
        <v>0.17249999999999999</v>
      </c>
      <c r="AL20" s="65">
        <v>-9.8900000000000002E-2</v>
      </c>
    </row>
    <row r="21" spans="1:38" s="54" customFormat="1" ht="24" x14ac:dyDescent="0.3">
      <c r="A21" s="68" t="s">
        <v>280</v>
      </c>
      <c r="B21" s="65">
        <v>-0.50839999999999996</v>
      </c>
      <c r="C21" s="66">
        <v>0.43990000000000001</v>
      </c>
      <c r="D21" s="65">
        <v>0.16889999999999999</v>
      </c>
      <c r="E21" s="65">
        <v>0.29809999999999998</v>
      </c>
      <c r="F21" s="65">
        <v>-0.35389999999999999</v>
      </c>
      <c r="G21" s="65">
        <v>0.1542</v>
      </c>
      <c r="H21" s="65">
        <v>0.14760000000000001</v>
      </c>
      <c r="I21" s="65">
        <v>0.33139999999999997</v>
      </c>
      <c r="J21" s="65">
        <v>-0.37869999999999998</v>
      </c>
      <c r="K21" s="65">
        <v>-0.52839999999999998</v>
      </c>
      <c r="L21" s="66">
        <v>0.41470000000000001</v>
      </c>
      <c r="M21" s="66">
        <v>0.39179999999999998</v>
      </c>
      <c r="N21" s="65">
        <v>-8.0100000000000005E-2</v>
      </c>
      <c r="O21" s="65">
        <v>-9.0200000000000002E-2</v>
      </c>
      <c r="P21" s="65">
        <v>0.40689999999999998</v>
      </c>
      <c r="Q21" s="65">
        <v>0.3412</v>
      </c>
      <c r="R21" s="65">
        <v>-0.1085</v>
      </c>
      <c r="S21" s="65">
        <v>-0.31159999999999999</v>
      </c>
      <c r="T21" s="65">
        <v>-0.25530000000000003</v>
      </c>
      <c r="U21" s="65">
        <v>1</v>
      </c>
      <c r="V21" s="65">
        <v>0.1077</v>
      </c>
      <c r="W21" s="65">
        <v>8.8900000000000007E-2</v>
      </c>
      <c r="X21" s="65">
        <v>0.26619999999999999</v>
      </c>
      <c r="Y21" s="65">
        <v>0.22570000000000001</v>
      </c>
      <c r="Z21" s="65">
        <v>4.9000000000000002E-2</v>
      </c>
      <c r="AA21" s="65">
        <v>2.86E-2</v>
      </c>
      <c r="AB21" s="65">
        <v>-5.2499999999999998E-2</v>
      </c>
      <c r="AC21" s="65">
        <v>1.4E-3</v>
      </c>
      <c r="AD21" s="65">
        <v>0.31719999999999998</v>
      </c>
      <c r="AE21" s="65">
        <v>0.38529999999999998</v>
      </c>
      <c r="AF21" s="65">
        <v>1.4E-2</v>
      </c>
      <c r="AG21" s="65">
        <v>5.6300000000000003E-2</v>
      </c>
      <c r="AH21" s="65">
        <v>1.2500000000000001E-2</v>
      </c>
      <c r="AI21" s="65">
        <v>8.1600000000000006E-2</v>
      </c>
      <c r="AJ21" s="65">
        <v>0.31080000000000002</v>
      </c>
      <c r="AK21" s="65">
        <v>0.1658</v>
      </c>
      <c r="AL21" s="65">
        <v>1.4999999999999999E-2</v>
      </c>
    </row>
    <row r="22" spans="1:38" x14ac:dyDescent="0.3">
      <c r="A22" s="68" t="s">
        <v>281</v>
      </c>
      <c r="B22" s="65">
        <v>6.88E-2</v>
      </c>
      <c r="C22" s="66">
        <v>-0.29020000000000001</v>
      </c>
      <c r="D22" s="65">
        <v>-4.5199999999999997E-2</v>
      </c>
      <c r="E22" s="65">
        <v>-0.13869999999999999</v>
      </c>
      <c r="F22" s="65">
        <v>0.1096</v>
      </c>
      <c r="G22" s="65">
        <v>-4.6399999999999997E-2</v>
      </c>
      <c r="H22" s="65">
        <v>4.5499999999999999E-2</v>
      </c>
      <c r="I22" s="65">
        <v>0.12909999999999999</v>
      </c>
      <c r="J22" s="65">
        <v>-1E-4</v>
      </c>
      <c r="K22" s="65">
        <v>6.4699999999999994E-2</v>
      </c>
      <c r="L22" s="66">
        <v>-0.25559999999999999</v>
      </c>
      <c r="M22" s="67">
        <v>0.45319999999999999</v>
      </c>
      <c r="N22" s="65">
        <v>-6.3200000000000006E-2</v>
      </c>
      <c r="O22" s="65">
        <v>0.24229999999999999</v>
      </c>
      <c r="P22" s="65">
        <v>0.30149999999999999</v>
      </c>
      <c r="Q22" s="65">
        <v>0.123</v>
      </c>
      <c r="R22" s="65">
        <v>-9.9199999999999997E-2</v>
      </c>
      <c r="S22" s="65">
        <v>-9.3799999999999994E-2</v>
      </c>
      <c r="T22" s="65">
        <v>-0.1807</v>
      </c>
      <c r="U22" s="65">
        <v>0.1077</v>
      </c>
      <c r="V22" s="65">
        <v>1</v>
      </c>
      <c r="W22" s="65">
        <v>9.7000000000000003E-3</v>
      </c>
      <c r="X22" s="65">
        <v>0.1598</v>
      </c>
      <c r="Y22" s="65">
        <v>0.1004</v>
      </c>
      <c r="Z22" s="65">
        <v>2.2499999999999999E-2</v>
      </c>
      <c r="AA22" s="65">
        <v>-5.7700000000000001E-2</v>
      </c>
      <c r="AB22" s="65">
        <v>-0.13800000000000001</v>
      </c>
      <c r="AC22" s="65">
        <v>-3.3500000000000002E-2</v>
      </c>
      <c r="AD22" s="65">
        <v>0.3095</v>
      </c>
      <c r="AE22" s="65">
        <v>0.1399</v>
      </c>
      <c r="AF22" s="65">
        <v>-0.41289999999999999</v>
      </c>
      <c r="AG22" s="65">
        <v>-2.5000000000000001E-2</v>
      </c>
      <c r="AH22" s="65">
        <v>-0.1285</v>
      </c>
      <c r="AI22" s="65">
        <v>0.59540000000000004</v>
      </c>
      <c r="AJ22" s="65">
        <v>-6.9500000000000006E-2</v>
      </c>
      <c r="AK22" s="65">
        <v>-0.22550000000000001</v>
      </c>
      <c r="AL22" s="65">
        <v>0.13109999999999999</v>
      </c>
    </row>
    <row r="23" spans="1:38" ht="24" x14ac:dyDescent="0.3">
      <c r="A23" s="68" t="s">
        <v>282</v>
      </c>
      <c r="B23" s="65">
        <v>1.49E-2</v>
      </c>
      <c r="C23" s="66">
        <v>3.9899999999999998E-2</v>
      </c>
      <c r="D23" s="65">
        <v>-3.3099999999999997E-2</v>
      </c>
      <c r="E23" s="65">
        <v>-1.4500000000000001E-2</v>
      </c>
      <c r="F23" s="65">
        <v>-6.9500000000000006E-2</v>
      </c>
      <c r="G23" s="65">
        <v>0.15670000000000001</v>
      </c>
      <c r="H23" s="65">
        <v>7.22E-2</v>
      </c>
      <c r="I23" s="65">
        <v>0.42109999999999997</v>
      </c>
      <c r="J23" s="65">
        <v>4.5699999999999998E-2</v>
      </c>
      <c r="K23" s="65">
        <v>-4.1000000000000003E-3</v>
      </c>
      <c r="L23" s="66">
        <v>-8.9800000000000005E-2</v>
      </c>
      <c r="M23" s="66">
        <v>-0.1011</v>
      </c>
      <c r="N23" s="65">
        <v>0.1598</v>
      </c>
      <c r="O23" s="65">
        <v>9.0999999999999998E-2</v>
      </c>
      <c r="P23" s="65">
        <v>0.20619999999999999</v>
      </c>
      <c r="Q23" s="65">
        <v>0.28170000000000001</v>
      </c>
      <c r="R23" s="65">
        <v>-8.72E-2</v>
      </c>
      <c r="S23" s="65">
        <v>-0.13489999999999999</v>
      </c>
      <c r="T23" s="65">
        <v>-0.26519999999999999</v>
      </c>
      <c r="U23" s="65">
        <v>8.8900000000000007E-2</v>
      </c>
      <c r="V23" s="65">
        <v>9.7000000000000003E-3</v>
      </c>
      <c r="W23" s="65">
        <v>1</v>
      </c>
      <c r="X23" s="65">
        <v>-0.47789999999999999</v>
      </c>
      <c r="Y23" s="65">
        <v>0.48609999999999998</v>
      </c>
      <c r="Z23" s="65">
        <v>0.11749999999999999</v>
      </c>
      <c r="AA23" s="65">
        <v>-8.7499999999999994E-2</v>
      </c>
      <c r="AB23" s="65">
        <v>8.4900000000000003E-2</v>
      </c>
      <c r="AC23" s="65">
        <v>0.46860000000000002</v>
      </c>
      <c r="AD23" s="65">
        <v>2.5899999999999999E-2</v>
      </c>
      <c r="AE23" s="65">
        <v>0.26079999999999998</v>
      </c>
      <c r="AF23" s="65">
        <v>0.10539999999999999</v>
      </c>
      <c r="AG23" s="65">
        <v>0.11600000000000001</v>
      </c>
      <c r="AH23" s="65">
        <v>-4.7600000000000003E-2</v>
      </c>
      <c r="AI23" s="65">
        <v>-7.6799999999999993E-2</v>
      </c>
      <c r="AJ23" s="65">
        <v>6.7400000000000002E-2</v>
      </c>
      <c r="AK23" s="65">
        <v>0.2326</v>
      </c>
      <c r="AL23" s="65">
        <v>0.2127</v>
      </c>
    </row>
    <row r="24" spans="1:38" s="54" customFormat="1" x14ac:dyDescent="0.3">
      <c r="A24" s="68" t="s">
        <v>283</v>
      </c>
      <c r="B24" s="65">
        <v>-5.6599999999999998E-2</v>
      </c>
      <c r="C24" s="66">
        <v>0.22789999999999999</v>
      </c>
      <c r="D24" s="65">
        <v>-0.1056</v>
      </c>
      <c r="E24" s="65">
        <v>-0.23300000000000001</v>
      </c>
      <c r="F24" s="65">
        <v>-1.26E-2</v>
      </c>
      <c r="G24" s="65">
        <v>0.1115</v>
      </c>
      <c r="H24" s="65">
        <v>0.2762</v>
      </c>
      <c r="I24" s="65">
        <v>0.39579999999999999</v>
      </c>
      <c r="J24" s="65">
        <v>-0.2001</v>
      </c>
      <c r="K24" s="65">
        <v>-2.5999999999999999E-2</v>
      </c>
      <c r="L24" s="67">
        <v>0.48630000000000001</v>
      </c>
      <c r="M24" s="67">
        <v>0.4743</v>
      </c>
      <c r="N24" s="65">
        <v>0.21460000000000001</v>
      </c>
      <c r="O24" s="65">
        <v>9.9599999999999994E-2</v>
      </c>
      <c r="P24" s="65">
        <v>0.41880000000000001</v>
      </c>
      <c r="Q24" s="65">
        <v>0.22589999999999999</v>
      </c>
      <c r="R24" s="65">
        <v>0.33710000000000001</v>
      </c>
      <c r="S24" s="65">
        <v>-0.35549999999999998</v>
      </c>
      <c r="T24" s="65">
        <v>-0.2175</v>
      </c>
      <c r="U24" s="65">
        <v>0.26619999999999999</v>
      </c>
      <c r="V24" s="65">
        <v>0.1598</v>
      </c>
      <c r="W24" s="65">
        <v>-0.47789999999999999</v>
      </c>
      <c r="X24" s="65">
        <v>1</v>
      </c>
      <c r="Y24" s="65">
        <v>0.34370000000000001</v>
      </c>
      <c r="Z24" s="65">
        <v>9.5600000000000004E-2</v>
      </c>
      <c r="AA24" s="65">
        <v>0.32950000000000002</v>
      </c>
      <c r="AB24" s="65">
        <v>0.1066</v>
      </c>
      <c r="AC24" s="65">
        <v>-0.13950000000000001</v>
      </c>
      <c r="AD24" s="65">
        <v>0.34610000000000002</v>
      </c>
      <c r="AE24" s="65">
        <v>0.1784</v>
      </c>
      <c r="AF24" s="65">
        <v>-0.31119999999999998</v>
      </c>
      <c r="AG24" s="65">
        <v>0.2984</v>
      </c>
      <c r="AH24" s="65">
        <v>0.2722</v>
      </c>
      <c r="AI24" s="65">
        <v>0.29239999999999999</v>
      </c>
      <c r="AJ24" s="65">
        <v>1.6500000000000001E-2</v>
      </c>
      <c r="AK24" s="65">
        <v>0.2392</v>
      </c>
      <c r="AL24" s="65">
        <v>0.3125</v>
      </c>
    </row>
    <row r="25" spans="1:38" s="54" customFormat="1" x14ac:dyDescent="0.3">
      <c r="A25" s="68" t="s">
        <v>284</v>
      </c>
      <c r="B25" s="65">
        <v>-8.5000000000000006E-3</v>
      </c>
      <c r="C25" s="66">
        <v>0.32400000000000001</v>
      </c>
      <c r="D25" s="65">
        <v>-0.24759999999999999</v>
      </c>
      <c r="E25" s="65">
        <v>-0.13950000000000001</v>
      </c>
      <c r="F25" s="65">
        <v>-3.8999999999999998E-3</v>
      </c>
      <c r="G25" s="65">
        <v>0.32229999999999998</v>
      </c>
      <c r="H25" s="65">
        <v>0.40970000000000001</v>
      </c>
      <c r="I25" s="65">
        <v>0.87470000000000003</v>
      </c>
      <c r="J25" s="65">
        <v>-9.1499999999999998E-2</v>
      </c>
      <c r="K25" s="65">
        <v>-1E-3</v>
      </c>
      <c r="L25" s="66">
        <v>0.48380000000000001</v>
      </c>
      <c r="M25" s="66">
        <v>0.47670000000000001</v>
      </c>
      <c r="N25" s="65">
        <v>0.43880000000000002</v>
      </c>
      <c r="O25" s="65">
        <v>0.13600000000000001</v>
      </c>
      <c r="P25" s="65">
        <v>0.63519999999999999</v>
      </c>
      <c r="Q25" s="65">
        <v>0.57679999999999998</v>
      </c>
      <c r="R25" s="65">
        <v>0.32029999999999997</v>
      </c>
      <c r="S25" s="65">
        <v>-0.57369999999999999</v>
      </c>
      <c r="T25" s="65">
        <v>-0.5393</v>
      </c>
      <c r="U25" s="65">
        <v>0.22570000000000001</v>
      </c>
      <c r="V25" s="65">
        <v>0.1004</v>
      </c>
      <c r="W25" s="65">
        <v>0.48609999999999998</v>
      </c>
      <c r="X25" s="65">
        <v>0.34370000000000001</v>
      </c>
      <c r="Y25" s="65">
        <v>1</v>
      </c>
      <c r="Z25" s="65">
        <v>0.1118</v>
      </c>
      <c r="AA25" s="65">
        <v>0.34739999999999999</v>
      </c>
      <c r="AB25" s="65">
        <v>0.29249999999999998</v>
      </c>
      <c r="AC25" s="65">
        <v>0.35189999999999999</v>
      </c>
      <c r="AD25" s="65">
        <v>0.18129999999999999</v>
      </c>
      <c r="AE25" s="65">
        <v>0.33850000000000002</v>
      </c>
      <c r="AF25" s="65">
        <v>1.49E-2</v>
      </c>
      <c r="AG25" s="65">
        <v>0.5776</v>
      </c>
      <c r="AH25" s="65">
        <v>0.1028</v>
      </c>
      <c r="AI25" s="65">
        <v>-8.6E-3</v>
      </c>
      <c r="AJ25" s="65">
        <v>9.1999999999999998E-2</v>
      </c>
      <c r="AK25" s="65">
        <v>0.26879999999999998</v>
      </c>
      <c r="AL25" s="65">
        <v>0.46450000000000002</v>
      </c>
    </row>
    <row r="26" spans="1:38" ht="24" x14ac:dyDescent="0.3">
      <c r="A26" s="68" t="s">
        <v>285</v>
      </c>
      <c r="B26" s="65">
        <v>-5.8299999999999998E-2</v>
      </c>
      <c r="C26" s="66">
        <v>-7.7799999999999994E-2</v>
      </c>
      <c r="D26" s="65">
        <v>-0.34250000000000003</v>
      </c>
      <c r="E26" s="65">
        <v>3.8600000000000002E-2</v>
      </c>
      <c r="F26" s="65">
        <v>-1.8499999999999999E-2</v>
      </c>
      <c r="G26" s="65">
        <v>1.4200000000000001E-2</v>
      </c>
      <c r="H26" s="65">
        <v>0.13039999999999999</v>
      </c>
      <c r="I26" s="65">
        <v>0.16089999999999999</v>
      </c>
      <c r="J26" s="65">
        <v>0.50529999999999997</v>
      </c>
      <c r="K26" s="65">
        <v>-3.0200000000000001E-2</v>
      </c>
      <c r="L26" s="66">
        <v>-0.12939999999999999</v>
      </c>
      <c r="M26" s="66">
        <v>-0.14069999999999999</v>
      </c>
      <c r="N26" s="65">
        <v>0.23719999999999999</v>
      </c>
      <c r="O26" s="65">
        <v>-9.4E-2</v>
      </c>
      <c r="P26" s="65">
        <v>0.31290000000000001</v>
      </c>
      <c r="Q26" s="65">
        <v>0.22189999999999999</v>
      </c>
      <c r="R26" s="65">
        <v>-1.49E-2</v>
      </c>
      <c r="S26" s="65">
        <v>-0.16800000000000001</v>
      </c>
      <c r="T26" s="65">
        <v>-0.23369999999999999</v>
      </c>
      <c r="U26" s="65">
        <v>4.9000000000000002E-2</v>
      </c>
      <c r="V26" s="65">
        <v>2.2499999999999999E-2</v>
      </c>
      <c r="W26" s="65">
        <v>0.11749999999999999</v>
      </c>
      <c r="X26" s="65">
        <v>9.5600000000000004E-2</v>
      </c>
      <c r="Y26" s="65">
        <v>0.1118</v>
      </c>
      <c r="Z26" s="65">
        <v>1</v>
      </c>
      <c r="AA26" s="65">
        <v>-0.16239999999999999</v>
      </c>
      <c r="AB26" s="65">
        <v>-0.12809999999999999</v>
      </c>
      <c r="AC26" s="65">
        <v>0.34360000000000002</v>
      </c>
      <c r="AD26" s="65">
        <v>5.5800000000000002E-2</v>
      </c>
      <c r="AE26" s="65">
        <v>4.9500000000000002E-2</v>
      </c>
      <c r="AF26" s="65">
        <v>-0.1434</v>
      </c>
      <c r="AG26" s="65">
        <v>0.47039999999999998</v>
      </c>
      <c r="AH26" s="65">
        <v>-6.7999999999999996E-3</v>
      </c>
      <c r="AI26" s="65">
        <v>0.1103</v>
      </c>
      <c r="AJ26" s="65">
        <v>0.1217</v>
      </c>
      <c r="AK26" s="65">
        <v>0.28170000000000001</v>
      </c>
      <c r="AL26" s="65">
        <v>0.37330000000000002</v>
      </c>
    </row>
    <row r="27" spans="1:38" s="54" customFormat="1" x14ac:dyDescent="0.3">
      <c r="A27" s="68" t="s">
        <v>286</v>
      </c>
      <c r="B27" s="65">
        <v>-0.30609999999999998</v>
      </c>
      <c r="C27" s="66">
        <v>0.51739999999999997</v>
      </c>
      <c r="D27" s="65">
        <v>-8.9499999999999996E-2</v>
      </c>
      <c r="E27" s="65">
        <v>-0.2097</v>
      </c>
      <c r="F27" s="65">
        <v>-0.15079999999999999</v>
      </c>
      <c r="G27" s="65">
        <v>0.40760000000000002</v>
      </c>
      <c r="H27" s="65">
        <v>0.41170000000000001</v>
      </c>
      <c r="I27" s="65">
        <v>0.43109999999999998</v>
      </c>
      <c r="J27" s="65">
        <v>2.8899999999999999E-2</v>
      </c>
      <c r="K27" s="65">
        <v>-0.27139999999999997</v>
      </c>
      <c r="L27" s="67">
        <v>0.59450000000000003</v>
      </c>
      <c r="M27" s="66">
        <v>0.58799999999999997</v>
      </c>
      <c r="N27" s="65">
        <v>0.32090000000000002</v>
      </c>
      <c r="O27" s="65">
        <v>-0.13439999999999999</v>
      </c>
      <c r="P27" s="65">
        <v>0.26140000000000002</v>
      </c>
      <c r="Q27" s="65">
        <v>0.187</v>
      </c>
      <c r="R27" s="65">
        <v>0.50880000000000003</v>
      </c>
      <c r="S27" s="65">
        <v>-0.39050000000000001</v>
      </c>
      <c r="T27" s="65">
        <v>-0.19450000000000001</v>
      </c>
      <c r="U27" s="65">
        <v>2.86E-2</v>
      </c>
      <c r="V27" s="65">
        <v>-5.7700000000000001E-2</v>
      </c>
      <c r="W27" s="65">
        <v>-8.7499999999999994E-2</v>
      </c>
      <c r="X27" s="65">
        <v>0.32950000000000002</v>
      </c>
      <c r="Y27" s="65">
        <v>0.34739999999999999</v>
      </c>
      <c r="Z27" s="65">
        <v>-0.16239999999999999</v>
      </c>
      <c r="AA27" s="65">
        <v>1</v>
      </c>
      <c r="AB27" s="65">
        <v>0.91149999999999998</v>
      </c>
      <c r="AC27" s="65">
        <v>-0.26700000000000002</v>
      </c>
      <c r="AD27" s="65">
        <v>0.30570000000000003</v>
      </c>
      <c r="AE27" s="65">
        <v>0.1173</v>
      </c>
      <c r="AF27" s="65">
        <v>-0.20369999999999999</v>
      </c>
      <c r="AG27" s="65">
        <v>6.4199999999999993E-2</v>
      </c>
      <c r="AH27" s="65">
        <v>-9.8299999999999998E-2</v>
      </c>
      <c r="AI27" s="65">
        <v>-0.33300000000000002</v>
      </c>
      <c r="AJ27" s="65">
        <v>5.8799999999999998E-2</v>
      </c>
      <c r="AK27" s="65">
        <v>2E-3</v>
      </c>
      <c r="AL27" s="65">
        <v>0.40189999999999998</v>
      </c>
    </row>
    <row r="28" spans="1:38" s="54" customFormat="1" x14ac:dyDescent="0.3">
      <c r="A28" s="68" t="s">
        <v>287</v>
      </c>
      <c r="B28" s="65">
        <v>-0.13950000000000001</v>
      </c>
      <c r="C28" s="66">
        <v>0.44259999999999999</v>
      </c>
      <c r="D28" s="65">
        <v>-0.21579999999999999</v>
      </c>
      <c r="E28" s="65">
        <v>-0.23669999999999999</v>
      </c>
      <c r="F28" s="65">
        <v>-3.6600000000000001E-2</v>
      </c>
      <c r="G28" s="65">
        <v>0.35920000000000002</v>
      </c>
      <c r="H28" s="65">
        <v>0.42420000000000002</v>
      </c>
      <c r="I28" s="65">
        <v>0.30690000000000001</v>
      </c>
      <c r="J28" s="65">
        <v>0.24110000000000001</v>
      </c>
      <c r="K28" s="65">
        <v>-0.13439999999999999</v>
      </c>
      <c r="L28" s="66">
        <v>0.49</v>
      </c>
      <c r="M28" s="66">
        <v>0.4849</v>
      </c>
      <c r="N28" s="65">
        <v>0.3775</v>
      </c>
      <c r="O28" s="65">
        <v>-0.14530000000000001</v>
      </c>
      <c r="P28" s="65">
        <v>0.1623</v>
      </c>
      <c r="Q28" s="65">
        <v>0.25430000000000003</v>
      </c>
      <c r="R28" s="65">
        <v>0.44819999999999999</v>
      </c>
      <c r="S28" s="65">
        <v>-0.3962</v>
      </c>
      <c r="T28" s="65">
        <v>-0.16800000000000001</v>
      </c>
      <c r="U28" s="65">
        <v>-5.2499999999999998E-2</v>
      </c>
      <c r="V28" s="65">
        <v>-0.13800000000000001</v>
      </c>
      <c r="W28" s="65">
        <v>8.4900000000000003E-2</v>
      </c>
      <c r="X28" s="65">
        <v>0.1066</v>
      </c>
      <c r="Y28" s="65">
        <v>0.29249999999999998</v>
      </c>
      <c r="Z28" s="65">
        <v>-0.12809999999999999</v>
      </c>
      <c r="AA28" s="65">
        <v>0.91149999999999998</v>
      </c>
      <c r="AB28" s="65">
        <v>1</v>
      </c>
      <c r="AC28" s="65">
        <v>-0.29470000000000002</v>
      </c>
      <c r="AD28" s="65">
        <v>0.15390000000000001</v>
      </c>
      <c r="AE28" s="65">
        <v>0.1661</v>
      </c>
      <c r="AF28" s="65">
        <v>-8.9399999999999993E-2</v>
      </c>
      <c r="AG28" s="65">
        <v>-4.99E-2</v>
      </c>
      <c r="AH28" s="65">
        <v>-0.2114</v>
      </c>
      <c r="AI28" s="65">
        <v>-0.28170000000000001</v>
      </c>
      <c r="AJ28" s="65">
        <v>0.19359999999999999</v>
      </c>
      <c r="AK28" s="65">
        <v>4.4600000000000001E-2</v>
      </c>
      <c r="AL28" s="65">
        <v>0.32340000000000002</v>
      </c>
    </row>
    <row r="29" spans="1:38" x14ac:dyDescent="0.3">
      <c r="A29" s="68" t="s">
        <v>288</v>
      </c>
      <c r="B29" s="65">
        <v>-7.6300000000000007E-2</v>
      </c>
      <c r="C29" s="66">
        <v>-0.22370000000000001</v>
      </c>
      <c r="D29" s="65">
        <v>-0.1137</v>
      </c>
      <c r="E29" s="65">
        <v>0.26300000000000001</v>
      </c>
      <c r="F29" s="65">
        <v>-0.14369999999999999</v>
      </c>
      <c r="G29" s="65">
        <v>7.2499999999999995E-2</v>
      </c>
      <c r="H29" s="65">
        <v>-3.95E-2</v>
      </c>
      <c r="I29" s="65">
        <v>0.33839999999999998</v>
      </c>
      <c r="J29" s="65">
        <v>-0.1258</v>
      </c>
      <c r="K29" s="65">
        <v>-2.3800000000000002E-2</v>
      </c>
      <c r="L29" s="66">
        <v>-0.31309999999999999</v>
      </c>
      <c r="M29" s="67">
        <v>0.69479999999999997</v>
      </c>
      <c r="N29" s="65">
        <v>0.16439999999999999</v>
      </c>
      <c r="O29" s="65">
        <v>9.9500000000000005E-2</v>
      </c>
      <c r="P29" s="65">
        <v>8.2900000000000001E-2</v>
      </c>
      <c r="Q29" s="65">
        <v>0.1651</v>
      </c>
      <c r="R29" s="65">
        <v>0.11360000000000001</v>
      </c>
      <c r="S29" s="65">
        <v>-0.1232</v>
      </c>
      <c r="T29" s="65">
        <v>-0.28210000000000002</v>
      </c>
      <c r="U29" s="65">
        <v>1.4E-3</v>
      </c>
      <c r="V29" s="65">
        <v>-3.3500000000000002E-2</v>
      </c>
      <c r="W29" s="65">
        <v>0.46860000000000002</v>
      </c>
      <c r="X29" s="65">
        <v>-0.13950000000000001</v>
      </c>
      <c r="Y29" s="65">
        <v>0.35189999999999999</v>
      </c>
      <c r="Z29" s="65">
        <v>0.34360000000000002</v>
      </c>
      <c r="AA29" s="65">
        <v>-0.26700000000000002</v>
      </c>
      <c r="AB29" s="65">
        <v>-0.29470000000000002</v>
      </c>
      <c r="AC29" s="65">
        <v>1</v>
      </c>
      <c r="AD29" s="65">
        <v>-0.1401</v>
      </c>
      <c r="AE29" s="65">
        <v>5.2400000000000002E-2</v>
      </c>
      <c r="AF29" s="65">
        <v>0.19539999999999999</v>
      </c>
      <c r="AG29" s="65">
        <v>0.45200000000000001</v>
      </c>
      <c r="AH29" s="65">
        <v>0.16869999999999999</v>
      </c>
      <c r="AI29" s="65">
        <v>0.09</v>
      </c>
      <c r="AJ29" s="65">
        <v>-0.1986</v>
      </c>
      <c r="AK29" s="65">
        <v>0.28170000000000001</v>
      </c>
      <c r="AL29" s="65">
        <v>6.3399999999999998E-2</v>
      </c>
    </row>
    <row r="30" spans="1:38" x14ac:dyDescent="0.3">
      <c r="A30" s="68" t="s">
        <v>289</v>
      </c>
      <c r="B30" s="65">
        <v>-0.21629999999999999</v>
      </c>
      <c r="C30" s="66">
        <v>0.29239999999999999</v>
      </c>
      <c r="D30" s="65">
        <v>-5.7000000000000002E-3</v>
      </c>
      <c r="E30" s="65">
        <v>-0.2177</v>
      </c>
      <c r="F30" s="65">
        <v>-0.2291</v>
      </c>
      <c r="G30" s="65">
        <v>-7.17E-2</v>
      </c>
      <c r="H30" s="65">
        <v>0.31669999999999998</v>
      </c>
      <c r="I30" s="65">
        <v>0.32640000000000002</v>
      </c>
      <c r="J30" s="65">
        <v>3.6999999999999998E-2</v>
      </c>
      <c r="K30" s="65">
        <v>-0.18090000000000001</v>
      </c>
      <c r="L30" s="66">
        <v>0.2424</v>
      </c>
      <c r="M30" s="66">
        <v>0.22270000000000001</v>
      </c>
      <c r="N30" s="65">
        <v>0.42520000000000002</v>
      </c>
      <c r="O30" s="65">
        <v>0.3644</v>
      </c>
      <c r="P30" s="65">
        <v>0.18640000000000001</v>
      </c>
      <c r="Q30" s="65">
        <v>0.1726</v>
      </c>
      <c r="R30" s="65">
        <v>0.12859999999999999</v>
      </c>
      <c r="S30" s="65">
        <v>-0.21210000000000001</v>
      </c>
      <c r="T30" s="65">
        <v>-0.184</v>
      </c>
      <c r="U30" s="65">
        <v>0.31719999999999998</v>
      </c>
      <c r="V30" s="65">
        <v>0.3095</v>
      </c>
      <c r="W30" s="65">
        <v>2.5899999999999999E-2</v>
      </c>
      <c r="X30" s="65">
        <v>0.34610000000000002</v>
      </c>
      <c r="Y30" s="65">
        <v>0.18129999999999999</v>
      </c>
      <c r="Z30" s="65">
        <v>5.5800000000000002E-2</v>
      </c>
      <c r="AA30" s="65">
        <v>0.30570000000000003</v>
      </c>
      <c r="AB30" s="65">
        <v>0.15390000000000001</v>
      </c>
      <c r="AC30" s="65">
        <v>-0.1401</v>
      </c>
      <c r="AD30" s="65">
        <v>1</v>
      </c>
      <c r="AE30" s="65">
        <v>-0.16389999999999999</v>
      </c>
      <c r="AF30" s="65">
        <v>-0.16020000000000001</v>
      </c>
      <c r="AG30" s="65">
        <v>4.5699999999999998E-2</v>
      </c>
      <c r="AH30" s="65">
        <v>0.4279</v>
      </c>
      <c r="AI30" s="65">
        <v>4.5499999999999999E-2</v>
      </c>
      <c r="AJ30" s="65">
        <v>6.5000000000000002E-2</v>
      </c>
      <c r="AK30" s="65">
        <v>3.1899999999999998E-2</v>
      </c>
      <c r="AL30" s="65">
        <v>0.38829999999999998</v>
      </c>
    </row>
    <row r="31" spans="1:38" ht="24" x14ac:dyDescent="0.3">
      <c r="A31" s="68" t="s">
        <v>290</v>
      </c>
      <c r="B31" s="65">
        <v>1.09E-2</v>
      </c>
      <c r="C31" s="66">
        <v>0.14080000000000001</v>
      </c>
      <c r="D31" s="65">
        <v>-4.8399999999999999E-2</v>
      </c>
      <c r="E31" s="65">
        <v>-4.7199999999999999E-2</v>
      </c>
      <c r="F31" s="65">
        <v>9.5699999999999993E-2</v>
      </c>
      <c r="G31" s="65">
        <v>0.38030000000000003</v>
      </c>
      <c r="H31" s="65">
        <v>0.1925</v>
      </c>
      <c r="I31" s="65">
        <v>0.31680000000000003</v>
      </c>
      <c r="J31" s="65">
        <v>3.6999999999999998E-2</v>
      </c>
      <c r="K31" s="65">
        <v>-1.5E-3</v>
      </c>
      <c r="L31" s="66">
        <v>0.2571</v>
      </c>
      <c r="M31" s="66">
        <v>0.24060000000000001</v>
      </c>
      <c r="N31" s="65">
        <v>-0.27850000000000003</v>
      </c>
      <c r="O31" s="65">
        <v>-0.30199999999999999</v>
      </c>
      <c r="P31" s="65">
        <v>0.42380000000000001</v>
      </c>
      <c r="Q31" s="65">
        <v>0.32150000000000001</v>
      </c>
      <c r="R31" s="65">
        <v>0.18559999999999999</v>
      </c>
      <c r="S31" s="65">
        <v>-0.36930000000000002</v>
      </c>
      <c r="T31" s="65">
        <v>-0.41649999999999998</v>
      </c>
      <c r="U31" s="65">
        <v>0.38529999999999998</v>
      </c>
      <c r="V31" s="65">
        <v>0.1399</v>
      </c>
      <c r="W31" s="65">
        <v>0.26079999999999998</v>
      </c>
      <c r="X31" s="65">
        <v>0.1784</v>
      </c>
      <c r="Y31" s="65">
        <v>0.33850000000000002</v>
      </c>
      <c r="Z31" s="65">
        <v>4.9500000000000002E-2</v>
      </c>
      <c r="AA31" s="65">
        <v>0.1173</v>
      </c>
      <c r="AB31" s="65">
        <v>0.1661</v>
      </c>
      <c r="AC31" s="65">
        <v>5.2400000000000002E-2</v>
      </c>
      <c r="AD31" s="65">
        <v>-0.16389999999999999</v>
      </c>
      <c r="AE31" s="65">
        <v>1</v>
      </c>
      <c r="AF31" s="65">
        <v>0</v>
      </c>
      <c r="AG31" s="65">
        <v>-8.2000000000000007E-3</v>
      </c>
      <c r="AH31" s="65">
        <v>-0.12039999999999999</v>
      </c>
      <c r="AI31" s="65">
        <v>0.2198</v>
      </c>
      <c r="AJ31" s="65">
        <v>8.8000000000000005E-3</v>
      </c>
      <c r="AK31" s="65">
        <v>-0.1293</v>
      </c>
      <c r="AL31" s="65">
        <v>-9.3299999999999994E-2</v>
      </c>
    </row>
    <row r="32" spans="1:38" x14ac:dyDescent="0.3">
      <c r="A32" s="68" t="s">
        <v>291</v>
      </c>
      <c r="B32" s="65">
        <v>5.8099999999999999E-2</v>
      </c>
      <c r="C32" s="66">
        <v>0.14860000000000001</v>
      </c>
      <c r="D32" s="65">
        <v>5.6500000000000002E-2</v>
      </c>
      <c r="E32" s="65">
        <v>0.22270000000000001</v>
      </c>
      <c r="F32" s="65">
        <v>-8.6400000000000005E-2</v>
      </c>
      <c r="G32" s="65">
        <v>5.21E-2</v>
      </c>
      <c r="H32" s="65">
        <v>-6.2300000000000001E-2</v>
      </c>
      <c r="I32" s="65">
        <v>-6.2700000000000006E-2</v>
      </c>
      <c r="J32" s="65">
        <v>0.13550000000000001</v>
      </c>
      <c r="K32" s="65">
        <v>6.5199999999999994E-2</v>
      </c>
      <c r="L32" s="66">
        <v>-1.9900000000000001E-2</v>
      </c>
      <c r="M32" s="66">
        <v>-7.1999999999999998E-3</v>
      </c>
      <c r="N32" s="65">
        <v>2.2200000000000001E-2</v>
      </c>
      <c r="O32" s="65">
        <v>6.7400000000000002E-2</v>
      </c>
      <c r="P32" s="65">
        <v>-0.28029999999999999</v>
      </c>
      <c r="Q32" s="65">
        <v>-9.5000000000000001E-2</v>
      </c>
      <c r="R32" s="65">
        <v>-0.1951</v>
      </c>
      <c r="S32" s="65">
        <v>0.18279999999999999</v>
      </c>
      <c r="T32" s="65">
        <v>0.16969999999999999</v>
      </c>
      <c r="U32" s="65">
        <v>1.4E-2</v>
      </c>
      <c r="V32" s="65">
        <v>-0.41289999999999999</v>
      </c>
      <c r="W32" s="65">
        <v>0.10539999999999999</v>
      </c>
      <c r="X32" s="65">
        <v>-0.31119999999999998</v>
      </c>
      <c r="Y32" s="65">
        <v>1.49E-2</v>
      </c>
      <c r="Z32" s="65">
        <v>-0.1434</v>
      </c>
      <c r="AA32" s="65">
        <v>-0.20369999999999999</v>
      </c>
      <c r="AB32" s="65">
        <v>-8.9399999999999993E-2</v>
      </c>
      <c r="AC32" s="65">
        <v>0.19539999999999999</v>
      </c>
      <c r="AD32" s="65">
        <v>-0.16020000000000001</v>
      </c>
      <c r="AE32" s="65">
        <v>0</v>
      </c>
      <c r="AF32" s="65">
        <v>1</v>
      </c>
      <c r="AG32" s="65">
        <v>0.17380000000000001</v>
      </c>
      <c r="AH32" s="65">
        <v>-8.2600000000000007E-2</v>
      </c>
      <c r="AI32" s="65">
        <v>-0.11559999999999999</v>
      </c>
      <c r="AJ32" s="65">
        <v>7.2400000000000006E-2</v>
      </c>
      <c r="AK32" s="65">
        <v>-2.8999999999999998E-3</v>
      </c>
      <c r="AL32" s="65">
        <v>-0.33810000000000001</v>
      </c>
    </row>
    <row r="33" spans="1:38" ht="24" x14ac:dyDescent="0.3">
      <c r="A33" s="68" t="s">
        <v>292</v>
      </c>
      <c r="B33" s="65">
        <v>-4.8999999999999998E-3</v>
      </c>
      <c r="C33" s="66">
        <v>0.33179999999999998</v>
      </c>
      <c r="D33" s="65">
        <v>-0.1011</v>
      </c>
      <c r="E33" s="65">
        <v>4.3999999999999997E-2</v>
      </c>
      <c r="F33" s="65">
        <v>-4.3E-3</v>
      </c>
      <c r="G33" s="65">
        <v>0.15690000000000001</v>
      </c>
      <c r="H33" s="65">
        <v>0.1114</v>
      </c>
      <c r="I33" s="65">
        <v>0.5131</v>
      </c>
      <c r="J33" s="65">
        <v>0.10630000000000001</v>
      </c>
      <c r="K33" s="65">
        <v>2.01E-2</v>
      </c>
      <c r="L33" s="66">
        <v>0.30149999999999999</v>
      </c>
      <c r="M33" s="66">
        <v>0.3256</v>
      </c>
      <c r="N33" s="65">
        <v>0.2419</v>
      </c>
      <c r="O33" s="65">
        <v>-8.7800000000000003E-2</v>
      </c>
      <c r="P33" s="65">
        <v>0.34489999999999998</v>
      </c>
      <c r="Q33" s="65">
        <v>0.1804</v>
      </c>
      <c r="R33" s="65">
        <v>2.4199999999999999E-2</v>
      </c>
      <c r="S33" s="65">
        <v>-0.1487</v>
      </c>
      <c r="T33" s="65">
        <v>-5.9900000000000002E-2</v>
      </c>
      <c r="U33" s="65">
        <v>5.6300000000000003E-2</v>
      </c>
      <c r="V33" s="65">
        <v>-2.5000000000000001E-2</v>
      </c>
      <c r="W33" s="65">
        <v>0.11600000000000001</v>
      </c>
      <c r="X33" s="65">
        <v>0.2984</v>
      </c>
      <c r="Y33" s="65">
        <v>0.5776</v>
      </c>
      <c r="Z33" s="65">
        <v>0.47039999999999998</v>
      </c>
      <c r="AA33" s="65">
        <v>6.4199999999999993E-2</v>
      </c>
      <c r="AB33" s="65">
        <v>-4.99E-2</v>
      </c>
      <c r="AC33" s="65">
        <v>0.45200000000000001</v>
      </c>
      <c r="AD33" s="65">
        <v>4.5699999999999998E-2</v>
      </c>
      <c r="AE33" s="65">
        <v>-8.2000000000000007E-3</v>
      </c>
      <c r="AF33" s="65">
        <v>0.17380000000000001</v>
      </c>
      <c r="AG33" s="65">
        <v>1</v>
      </c>
      <c r="AH33" s="65">
        <v>0.14019999999999999</v>
      </c>
      <c r="AI33" s="65">
        <v>9.2399999999999996E-2</v>
      </c>
      <c r="AJ33" s="65">
        <v>0.28289999999999998</v>
      </c>
      <c r="AK33" s="65">
        <v>0.28060000000000002</v>
      </c>
      <c r="AL33" s="65">
        <v>0.62739999999999996</v>
      </c>
    </row>
    <row r="34" spans="1:38" ht="24" x14ac:dyDescent="0.3">
      <c r="A34" s="68" t="s">
        <v>293</v>
      </c>
      <c r="B34" s="65">
        <v>2.1600000000000001E-2</v>
      </c>
      <c r="C34" s="66">
        <v>-1.8200000000000001E-2</v>
      </c>
      <c r="D34" s="65">
        <v>-0.12820000000000001</v>
      </c>
      <c r="E34" s="65">
        <v>0.2046</v>
      </c>
      <c r="F34" s="65">
        <v>-5.33E-2</v>
      </c>
      <c r="G34" s="65">
        <v>-0.3085</v>
      </c>
      <c r="H34" s="65">
        <v>0.12479999999999999</v>
      </c>
      <c r="I34" s="65">
        <v>0.1308</v>
      </c>
      <c r="J34" s="65">
        <v>-7.0400000000000004E-2</v>
      </c>
      <c r="K34" s="65">
        <v>2.3400000000000001E-2</v>
      </c>
      <c r="L34" s="66">
        <v>6.8000000000000005E-2</v>
      </c>
      <c r="M34" s="66">
        <v>8.6800000000000002E-2</v>
      </c>
      <c r="N34" s="65">
        <v>0.31369999999999998</v>
      </c>
      <c r="O34" s="65">
        <v>0.27889999999999998</v>
      </c>
      <c r="P34" s="65">
        <v>-1.29E-2</v>
      </c>
      <c r="Q34" s="65">
        <v>0.2145</v>
      </c>
      <c r="R34" s="65">
        <v>0.27300000000000002</v>
      </c>
      <c r="S34" s="65">
        <v>-0.22439999999999999</v>
      </c>
      <c r="T34" s="65">
        <v>-0.20910000000000001</v>
      </c>
      <c r="U34" s="65">
        <v>1.2500000000000001E-2</v>
      </c>
      <c r="V34" s="65">
        <v>-0.1285</v>
      </c>
      <c r="W34" s="65">
        <v>-4.7600000000000003E-2</v>
      </c>
      <c r="X34" s="65">
        <v>0.2722</v>
      </c>
      <c r="Y34" s="65">
        <v>0.1028</v>
      </c>
      <c r="Z34" s="65">
        <v>-6.7999999999999996E-3</v>
      </c>
      <c r="AA34" s="65">
        <v>-9.8299999999999998E-2</v>
      </c>
      <c r="AB34" s="65">
        <v>-0.2114</v>
      </c>
      <c r="AC34" s="65">
        <v>0.16869999999999999</v>
      </c>
      <c r="AD34" s="65">
        <v>0.4279</v>
      </c>
      <c r="AE34" s="65">
        <v>-0.12039999999999999</v>
      </c>
      <c r="AF34" s="65">
        <v>-8.2600000000000007E-2</v>
      </c>
      <c r="AG34" s="65">
        <v>0.14019999999999999</v>
      </c>
      <c r="AH34" s="65">
        <v>1</v>
      </c>
      <c r="AI34" s="65">
        <v>1.2699999999999999E-2</v>
      </c>
      <c r="AJ34" s="65">
        <v>-0.1255</v>
      </c>
      <c r="AK34" s="65">
        <v>0.111</v>
      </c>
      <c r="AL34" s="65">
        <v>0.2235</v>
      </c>
    </row>
    <row r="35" spans="1:38" x14ac:dyDescent="0.3">
      <c r="A35" s="68" t="s">
        <v>294</v>
      </c>
      <c r="B35" s="65">
        <v>0.2883</v>
      </c>
      <c r="C35" s="66">
        <v>-0.32319999999999999</v>
      </c>
      <c r="D35" s="65">
        <v>6.6000000000000003E-2</v>
      </c>
      <c r="E35" s="65">
        <v>-0.1777</v>
      </c>
      <c r="F35" s="65">
        <v>6.0600000000000001E-2</v>
      </c>
      <c r="G35" s="65">
        <v>-3.6600000000000001E-2</v>
      </c>
      <c r="H35" s="65">
        <v>0.25940000000000002</v>
      </c>
      <c r="I35" s="65">
        <v>7.0599999999999996E-2</v>
      </c>
      <c r="J35" s="65">
        <v>-2.3E-3</v>
      </c>
      <c r="K35" s="65">
        <v>0.22159999999999999</v>
      </c>
      <c r="L35" s="66">
        <v>-0.30170000000000002</v>
      </c>
      <c r="M35" s="67">
        <v>0.59899999999999998</v>
      </c>
      <c r="N35" s="65">
        <v>-0.1166</v>
      </c>
      <c r="O35" s="65">
        <v>3.9E-2</v>
      </c>
      <c r="P35" s="65">
        <v>0.1464</v>
      </c>
      <c r="Q35" s="65">
        <v>1.3599999999999999E-2</v>
      </c>
      <c r="R35" s="65">
        <v>-6.7900000000000002E-2</v>
      </c>
      <c r="S35" s="65">
        <v>3.5099999999999999E-2</v>
      </c>
      <c r="T35" s="65">
        <v>1.6299999999999999E-2</v>
      </c>
      <c r="U35" s="65">
        <v>8.1600000000000006E-2</v>
      </c>
      <c r="V35" s="65">
        <v>0.59540000000000004</v>
      </c>
      <c r="W35" s="65">
        <v>-7.6799999999999993E-2</v>
      </c>
      <c r="X35" s="65">
        <v>0.29239999999999999</v>
      </c>
      <c r="Y35" s="65">
        <v>-8.6E-3</v>
      </c>
      <c r="Z35" s="65">
        <v>0.1103</v>
      </c>
      <c r="AA35" s="65">
        <v>-0.33300000000000002</v>
      </c>
      <c r="AB35" s="65">
        <v>-0.28170000000000001</v>
      </c>
      <c r="AC35" s="65">
        <v>0.09</v>
      </c>
      <c r="AD35" s="65">
        <v>4.5499999999999999E-2</v>
      </c>
      <c r="AE35" s="65">
        <v>0.2198</v>
      </c>
      <c r="AF35" s="65">
        <v>-0.11559999999999999</v>
      </c>
      <c r="AG35" s="65">
        <v>9.2399999999999996E-2</v>
      </c>
      <c r="AH35" s="65">
        <v>1.2699999999999999E-2</v>
      </c>
      <c r="AI35" s="65">
        <v>1</v>
      </c>
      <c r="AJ35" s="65">
        <v>5.5199999999999999E-2</v>
      </c>
      <c r="AK35" s="65">
        <v>-1.32E-2</v>
      </c>
      <c r="AL35" s="65">
        <v>5.9999999999999995E-4</v>
      </c>
    </row>
    <row r="36" spans="1:38" ht="24" x14ac:dyDescent="0.3">
      <c r="A36" s="68" t="s">
        <v>295</v>
      </c>
      <c r="B36" s="65">
        <v>4.7699999999999999E-2</v>
      </c>
      <c r="C36" s="66">
        <v>0.33739999999999998</v>
      </c>
      <c r="D36" s="65">
        <v>-1.52E-2</v>
      </c>
      <c r="E36" s="65">
        <v>-0.1095</v>
      </c>
      <c r="F36" s="65">
        <v>0.17699999999999999</v>
      </c>
      <c r="G36" s="65">
        <v>3.6600000000000001E-2</v>
      </c>
      <c r="H36" s="65">
        <v>2.5399999999999999E-2</v>
      </c>
      <c r="I36" s="65">
        <v>-0.1196</v>
      </c>
      <c r="J36" s="65">
        <v>0.1462</v>
      </c>
      <c r="K36" s="65">
        <v>5.96E-2</v>
      </c>
      <c r="L36" s="66">
        <v>0.26869999999999999</v>
      </c>
      <c r="M36" s="66">
        <v>0.27829999999999999</v>
      </c>
      <c r="N36" s="65">
        <v>6.2399999999999997E-2</v>
      </c>
      <c r="O36" s="65">
        <v>-0.24929999999999999</v>
      </c>
      <c r="P36" s="65">
        <v>-0.1308</v>
      </c>
      <c r="Q36" s="65">
        <v>0.1062</v>
      </c>
      <c r="R36" s="65">
        <v>-0.1196</v>
      </c>
      <c r="S36" s="65">
        <v>-9.2100000000000001E-2</v>
      </c>
      <c r="T36" s="65">
        <v>0.19789999999999999</v>
      </c>
      <c r="U36" s="65">
        <v>0.31080000000000002</v>
      </c>
      <c r="V36" s="65">
        <v>-6.9500000000000006E-2</v>
      </c>
      <c r="W36" s="65">
        <v>6.7400000000000002E-2</v>
      </c>
      <c r="X36" s="65">
        <v>1.6500000000000001E-2</v>
      </c>
      <c r="Y36" s="65">
        <v>9.1999999999999998E-2</v>
      </c>
      <c r="Z36" s="65">
        <v>0.1217</v>
      </c>
      <c r="AA36" s="65">
        <v>5.8799999999999998E-2</v>
      </c>
      <c r="AB36" s="65">
        <v>0.19359999999999999</v>
      </c>
      <c r="AC36" s="65">
        <v>-0.1986</v>
      </c>
      <c r="AD36" s="65">
        <v>6.5000000000000002E-2</v>
      </c>
      <c r="AE36" s="65">
        <v>8.8000000000000005E-3</v>
      </c>
      <c r="AF36" s="65">
        <v>7.2400000000000006E-2</v>
      </c>
      <c r="AG36" s="65">
        <v>0.28289999999999998</v>
      </c>
      <c r="AH36" s="65">
        <v>-0.1255</v>
      </c>
      <c r="AI36" s="65">
        <v>5.5199999999999999E-2</v>
      </c>
      <c r="AJ36" s="65">
        <v>1</v>
      </c>
      <c r="AK36" s="65">
        <v>0.17480000000000001</v>
      </c>
      <c r="AL36" s="65">
        <v>0.41660000000000003</v>
      </c>
    </row>
    <row r="37" spans="1:38" ht="24" x14ac:dyDescent="0.3">
      <c r="A37" s="68" t="s">
        <v>296</v>
      </c>
      <c r="B37" s="65">
        <v>-0.1263</v>
      </c>
      <c r="C37" s="66">
        <v>0.25209999999999999</v>
      </c>
      <c r="D37" s="65">
        <v>-0.1212</v>
      </c>
      <c r="E37" s="65">
        <v>4.6100000000000002E-2</v>
      </c>
      <c r="F37" s="65">
        <v>-0.19139999999999999</v>
      </c>
      <c r="G37" s="65">
        <v>0.104</v>
      </c>
      <c r="H37" s="65">
        <v>4.2700000000000002E-2</v>
      </c>
      <c r="I37" s="65">
        <v>0.25779999999999997</v>
      </c>
      <c r="J37" s="65">
        <v>-5.5399999999999998E-2</v>
      </c>
      <c r="K37" s="65">
        <v>-5.8799999999999998E-2</v>
      </c>
      <c r="L37" s="66">
        <v>0.21279999999999999</v>
      </c>
      <c r="M37" s="66">
        <v>0.21820000000000001</v>
      </c>
      <c r="N37" s="65">
        <v>0.19339999999999999</v>
      </c>
      <c r="O37" s="65">
        <v>0.17269999999999999</v>
      </c>
      <c r="P37" s="65">
        <v>0.1067</v>
      </c>
      <c r="Q37" s="65">
        <v>6.9500000000000006E-2</v>
      </c>
      <c r="R37" s="65">
        <v>-0.25290000000000001</v>
      </c>
      <c r="S37" s="65">
        <v>5.74E-2</v>
      </c>
      <c r="T37" s="65">
        <v>0.17249999999999999</v>
      </c>
      <c r="U37" s="65">
        <v>0.1658</v>
      </c>
      <c r="V37" s="65">
        <v>-0.22550000000000001</v>
      </c>
      <c r="W37" s="65">
        <v>0.2326</v>
      </c>
      <c r="X37" s="65">
        <v>0.2392</v>
      </c>
      <c r="Y37" s="65">
        <v>0.26879999999999998</v>
      </c>
      <c r="Z37" s="65">
        <v>0.28170000000000001</v>
      </c>
      <c r="AA37" s="65">
        <v>2E-3</v>
      </c>
      <c r="AB37" s="65">
        <v>4.4600000000000001E-2</v>
      </c>
      <c r="AC37" s="65">
        <v>0.28170000000000001</v>
      </c>
      <c r="AD37" s="65">
        <v>3.1899999999999998E-2</v>
      </c>
      <c r="AE37" s="65">
        <v>-0.1293</v>
      </c>
      <c r="AF37" s="65">
        <v>-2.8999999999999998E-3</v>
      </c>
      <c r="AG37" s="65">
        <v>0.28060000000000002</v>
      </c>
      <c r="AH37" s="65">
        <v>0.111</v>
      </c>
      <c r="AI37" s="65">
        <v>-1.32E-2</v>
      </c>
      <c r="AJ37" s="65">
        <v>0.17480000000000001</v>
      </c>
      <c r="AK37" s="65">
        <v>1</v>
      </c>
      <c r="AL37" s="65">
        <v>0.317</v>
      </c>
    </row>
    <row r="38" spans="1:38" ht="24" x14ac:dyDescent="0.3">
      <c r="A38" s="68" t="s">
        <v>297</v>
      </c>
      <c r="B38" s="65">
        <v>-0.22159999999999999</v>
      </c>
      <c r="C38" s="66">
        <v>0.33429999999999999</v>
      </c>
      <c r="D38" s="65">
        <v>-1.5E-3</v>
      </c>
      <c r="E38" s="65">
        <v>-9.0499999999999997E-2</v>
      </c>
      <c r="F38" s="65">
        <v>-0.15079999999999999</v>
      </c>
      <c r="G38" s="65">
        <v>0.2155</v>
      </c>
      <c r="H38" s="65">
        <v>0.1754</v>
      </c>
      <c r="I38" s="65">
        <v>0.47189999999999999</v>
      </c>
      <c r="J38" s="65">
        <v>9.64E-2</v>
      </c>
      <c r="K38" s="65">
        <v>-0.1925</v>
      </c>
      <c r="L38" s="66">
        <v>0.29870000000000002</v>
      </c>
      <c r="M38" s="66">
        <v>0.2989</v>
      </c>
      <c r="N38" s="65">
        <v>0.3916</v>
      </c>
      <c r="O38" s="65">
        <v>9.7799999999999998E-2</v>
      </c>
      <c r="P38" s="65">
        <v>0.2482</v>
      </c>
      <c r="Q38" s="65">
        <v>0.13109999999999999</v>
      </c>
      <c r="R38" s="65">
        <v>0.20780000000000001</v>
      </c>
      <c r="S38" s="65">
        <v>-0.1769</v>
      </c>
      <c r="T38" s="65">
        <v>-9.8900000000000002E-2</v>
      </c>
      <c r="U38" s="65">
        <v>1.4999999999999999E-2</v>
      </c>
      <c r="V38" s="65">
        <v>0.13109999999999999</v>
      </c>
      <c r="W38" s="65">
        <v>0.2127</v>
      </c>
      <c r="X38" s="65">
        <v>0.3125</v>
      </c>
      <c r="Y38" s="65">
        <v>0.46450000000000002</v>
      </c>
      <c r="Z38" s="65">
        <v>0.37330000000000002</v>
      </c>
      <c r="AA38" s="65">
        <v>0.40189999999999998</v>
      </c>
      <c r="AB38" s="65">
        <v>0.32340000000000002</v>
      </c>
      <c r="AC38" s="65">
        <v>6.3399999999999998E-2</v>
      </c>
      <c r="AD38" s="65">
        <v>0.38829999999999998</v>
      </c>
      <c r="AE38" s="65">
        <v>-9.3299999999999994E-2</v>
      </c>
      <c r="AF38" s="65">
        <v>-0.33810000000000001</v>
      </c>
      <c r="AG38" s="65">
        <v>0.62739999999999996</v>
      </c>
      <c r="AH38" s="65">
        <v>0.2235</v>
      </c>
      <c r="AI38" s="65">
        <v>5.9999999999999995E-4</v>
      </c>
      <c r="AJ38" s="65">
        <v>0.41660000000000003</v>
      </c>
      <c r="AK38" s="65">
        <v>0.317</v>
      </c>
      <c r="AL38" s="6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7DAF-F815-4A7F-A7F7-AEF1C01D6D08}">
  <dimension ref="A1:F38"/>
  <sheetViews>
    <sheetView topLeftCell="A7" zoomScale="79" workbookViewId="0">
      <selection activeCell="F1" activeCellId="1" sqref="A1:A34 F1:F34"/>
    </sheetView>
  </sheetViews>
  <sheetFormatPr defaultRowHeight="14.4" x14ac:dyDescent="0.3"/>
  <sheetData>
    <row r="1" spans="1:6" x14ac:dyDescent="0.3">
      <c r="A1" s="52"/>
      <c r="B1" s="52" t="s">
        <v>221</v>
      </c>
      <c r="C1" s="52" t="s">
        <v>222</v>
      </c>
      <c r="D1" s="52" t="s">
        <v>223</v>
      </c>
      <c r="E1" s="52" t="s">
        <v>224</v>
      </c>
    </row>
    <row r="2" spans="1:6" x14ac:dyDescent="0.3">
      <c r="A2" s="52" t="s">
        <v>229</v>
      </c>
      <c r="B2" s="55">
        <v>-0.224</v>
      </c>
      <c r="C2" s="52">
        <v>-7.8E-2</v>
      </c>
      <c r="D2" s="52">
        <v>0.05</v>
      </c>
      <c r="E2" s="52">
        <v>6.8000000000000005E-2</v>
      </c>
      <c r="F2" t="s">
        <v>5</v>
      </c>
    </row>
    <row r="3" spans="1:6" x14ac:dyDescent="0.3">
      <c r="A3" s="52" t="s">
        <v>230</v>
      </c>
      <c r="B3" s="52">
        <v>0.14699999999999999</v>
      </c>
      <c r="C3" s="52">
        <v>0.17</v>
      </c>
      <c r="D3" s="52">
        <v>-5.0000000000000001E-3</v>
      </c>
      <c r="E3" s="55">
        <v>-0.218</v>
      </c>
      <c r="F3" t="s">
        <v>6</v>
      </c>
    </row>
    <row r="4" spans="1:6" x14ac:dyDescent="0.3">
      <c r="A4" s="52" t="s">
        <v>231</v>
      </c>
      <c r="B4" s="55">
        <v>-0.23400000000000001</v>
      </c>
      <c r="C4" s="52">
        <v>2E-3</v>
      </c>
      <c r="D4" s="52">
        <v>4.2000000000000003E-2</v>
      </c>
      <c r="E4" s="52">
        <v>2.8000000000000001E-2</v>
      </c>
      <c r="F4" t="s">
        <v>7</v>
      </c>
    </row>
    <row r="5" spans="1:6" x14ac:dyDescent="0.3">
      <c r="A5" s="52" t="s">
        <v>232</v>
      </c>
      <c r="B5" s="52">
        <v>-1.6E-2</v>
      </c>
      <c r="C5" s="55">
        <v>-0.40500000000000003</v>
      </c>
      <c r="D5" s="52">
        <v>0.14000000000000001</v>
      </c>
      <c r="E5" s="52">
        <v>6.3E-2</v>
      </c>
      <c r="F5" t="s">
        <v>8</v>
      </c>
    </row>
    <row r="6" spans="1:6" x14ac:dyDescent="0.3">
      <c r="A6" s="52" t="s">
        <v>233</v>
      </c>
      <c r="B6" s="55">
        <v>-0.218</v>
      </c>
      <c r="C6" s="52">
        <v>-0.13900000000000001</v>
      </c>
      <c r="D6" s="52">
        <v>-1.2999999999999999E-2</v>
      </c>
      <c r="E6" s="52">
        <v>0.02</v>
      </c>
      <c r="F6" t="s">
        <v>175</v>
      </c>
    </row>
    <row r="7" spans="1:6" x14ac:dyDescent="0.3">
      <c r="A7" s="52" t="s">
        <v>234</v>
      </c>
      <c r="B7" s="52">
        <v>-9.9000000000000005E-2</v>
      </c>
      <c r="C7" s="52">
        <v>-4.9000000000000002E-2</v>
      </c>
      <c r="D7" s="55">
        <v>-0.46200000000000002</v>
      </c>
      <c r="E7" s="52">
        <v>-0.27500000000000002</v>
      </c>
      <c r="F7" t="s">
        <v>11</v>
      </c>
    </row>
    <row r="8" spans="1:6" x14ac:dyDescent="0.3">
      <c r="A8" s="52" t="s">
        <v>235</v>
      </c>
      <c r="B8" s="55">
        <v>-0.224</v>
      </c>
      <c r="C8" s="52">
        <v>-7.9000000000000001E-2</v>
      </c>
      <c r="D8" s="52">
        <v>-6.3E-2</v>
      </c>
      <c r="E8" s="52">
        <v>-1.9E-2</v>
      </c>
      <c r="F8" t="s">
        <v>12</v>
      </c>
    </row>
    <row r="9" spans="1:6" x14ac:dyDescent="0.3">
      <c r="A9" s="52" t="s">
        <v>236</v>
      </c>
      <c r="B9" s="52">
        <v>0.09</v>
      </c>
      <c r="C9" s="52">
        <v>-0.25700000000000001</v>
      </c>
      <c r="D9" s="52">
        <v>0.106</v>
      </c>
      <c r="E9" s="55">
        <v>-0.30499999999999999</v>
      </c>
      <c r="F9" t="s">
        <v>13</v>
      </c>
    </row>
    <row r="10" spans="1:6" x14ac:dyDescent="0.3">
      <c r="A10" s="52" t="s">
        <v>237</v>
      </c>
      <c r="B10" s="52">
        <v>0.14099999999999999</v>
      </c>
      <c r="C10" s="52">
        <v>0.14199999999999999</v>
      </c>
      <c r="D10" s="55">
        <v>0.33300000000000002</v>
      </c>
      <c r="E10" s="52">
        <v>0.29399999999999998</v>
      </c>
      <c r="F10" t="s">
        <v>14</v>
      </c>
    </row>
    <row r="11" spans="1:6" x14ac:dyDescent="0.3">
      <c r="A11" s="52" t="s">
        <v>238</v>
      </c>
      <c r="B11" s="52">
        <v>-1E-3</v>
      </c>
      <c r="C11" s="52">
        <v>0.32800000000000001</v>
      </c>
      <c r="D11" s="52">
        <v>0.21299999999999999</v>
      </c>
      <c r="E11" s="55">
        <v>0.33</v>
      </c>
      <c r="F11" t="s">
        <v>15</v>
      </c>
    </row>
    <row r="12" spans="1:6" x14ac:dyDescent="0.3">
      <c r="A12" s="52" t="s">
        <v>239</v>
      </c>
      <c r="B12" s="55">
        <v>-0.20899999999999999</v>
      </c>
      <c r="C12" s="52">
        <v>-0.185</v>
      </c>
      <c r="D12" s="52">
        <v>1E-3</v>
      </c>
      <c r="E12" s="52">
        <v>1.4E-2</v>
      </c>
      <c r="F12" t="s">
        <v>16</v>
      </c>
    </row>
    <row r="13" spans="1:6" x14ac:dyDescent="0.3">
      <c r="A13" s="52" t="s">
        <v>240</v>
      </c>
      <c r="B13" s="52">
        <v>5.3999999999999999E-2</v>
      </c>
      <c r="C13" s="55">
        <v>-0.40200000000000002</v>
      </c>
      <c r="D13" s="52">
        <v>1.7000000000000001E-2</v>
      </c>
      <c r="E13" s="52">
        <v>0.183</v>
      </c>
      <c r="F13" t="s">
        <v>18</v>
      </c>
    </row>
    <row r="14" spans="1:6" x14ac:dyDescent="0.3">
      <c r="A14" s="52" t="s">
        <v>241</v>
      </c>
      <c r="B14" s="52">
        <v>-0.16500000000000001</v>
      </c>
      <c r="C14" s="52">
        <v>0.129</v>
      </c>
      <c r="D14" s="55">
        <v>0.22800000000000001</v>
      </c>
      <c r="E14" s="52">
        <v>-0.24</v>
      </c>
      <c r="F14" t="s">
        <v>168</v>
      </c>
    </row>
    <row r="15" spans="1:6" x14ac:dyDescent="0.3">
      <c r="A15" s="52" t="s">
        <v>242</v>
      </c>
      <c r="B15" s="52">
        <v>9.7000000000000003E-2</v>
      </c>
      <c r="C15" s="52">
        <v>5.7000000000000002E-2</v>
      </c>
      <c r="D15" s="52">
        <v>0.221</v>
      </c>
      <c r="E15" s="55">
        <v>0.316</v>
      </c>
      <c r="F15" t="s">
        <v>19</v>
      </c>
    </row>
    <row r="16" spans="1:6" x14ac:dyDescent="0.3">
      <c r="A16" s="52" t="s">
        <v>243</v>
      </c>
      <c r="B16" s="52">
        <v>6.2E-2</v>
      </c>
      <c r="C16" s="55">
        <v>0.18099999999999999</v>
      </c>
      <c r="D16" s="52">
        <v>5.8999999999999997E-2</v>
      </c>
      <c r="E16" s="52">
        <v>-8.4000000000000005E-2</v>
      </c>
      <c r="F16" t="s">
        <v>158</v>
      </c>
    </row>
    <row r="17" spans="1:6" x14ac:dyDescent="0.3">
      <c r="A17" s="52" t="s">
        <v>244</v>
      </c>
      <c r="B17" s="55">
        <v>-0.188</v>
      </c>
      <c r="C17" s="52">
        <v>-0.13400000000000001</v>
      </c>
      <c r="D17" s="52">
        <v>0.16200000000000001</v>
      </c>
      <c r="E17" s="52">
        <v>-0.109</v>
      </c>
      <c r="F17" t="s">
        <v>169</v>
      </c>
    </row>
    <row r="18" spans="1:6" x14ac:dyDescent="0.3">
      <c r="A18" s="52" t="s">
        <v>245</v>
      </c>
      <c r="B18" s="52">
        <v>8.5000000000000006E-2</v>
      </c>
      <c r="C18" s="52">
        <v>0.104</v>
      </c>
      <c r="D18" s="52">
        <v>0.127</v>
      </c>
      <c r="E18" s="55">
        <v>-0.25</v>
      </c>
      <c r="F18" t="s">
        <v>23</v>
      </c>
    </row>
    <row r="19" spans="1:6" x14ac:dyDescent="0.3">
      <c r="A19" s="52" t="s">
        <v>246</v>
      </c>
      <c r="B19" s="55">
        <v>-0.23400000000000001</v>
      </c>
      <c r="C19" s="52">
        <v>-6.0000000000000001E-3</v>
      </c>
      <c r="D19" s="52">
        <v>0.06</v>
      </c>
      <c r="E19" s="52">
        <v>-1.2999999999999999E-2</v>
      </c>
      <c r="F19" t="s">
        <v>170</v>
      </c>
    </row>
    <row r="20" spans="1:6" x14ac:dyDescent="0.3">
      <c r="A20" s="52" t="s">
        <v>247</v>
      </c>
      <c r="B20" s="55">
        <v>-0.19500000000000001</v>
      </c>
      <c r="C20" s="52">
        <v>0.18099999999999999</v>
      </c>
      <c r="D20" s="52">
        <v>0.14399999999999999</v>
      </c>
      <c r="E20" s="52">
        <v>-0.111</v>
      </c>
      <c r="F20" t="s">
        <v>171</v>
      </c>
    </row>
    <row r="21" spans="1:6" x14ac:dyDescent="0.3">
      <c r="A21" s="52" t="s">
        <v>248</v>
      </c>
      <c r="B21" s="55">
        <v>-0.19800000000000001</v>
      </c>
      <c r="C21" s="52">
        <v>-0.17599999999999999</v>
      </c>
      <c r="D21" s="52">
        <v>8.7999999999999995E-2</v>
      </c>
      <c r="E21" s="52">
        <v>0.14099999999999999</v>
      </c>
      <c r="F21" t="s">
        <v>26</v>
      </c>
    </row>
    <row r="22" spans="1:6" x14ac:dyDescent="0.3">
      <c r="A22" s="52" t="s">
        <v>249</v>
      </c>
      <c r="B22" s="55">
        <v>-0.22700000000000001</v>
      </c>
      <c r="C22" s="52">
        <v>-2.8000000000000001E-2</v>
      </c>
      <c r="D22" s="52">
        <v>5.2999999999999999E-2</v>
      </c>
      <c r="E22" s="52">
        <v>9.5000000000000001E-2</v>
      </c>
      <c r="F22" t="s">
        <v>27</v>
      </c>
    </row>
    <row r="23" spans="1:6" x14ac:dyDescent="0.3">
      <c r="A23" s="52" t="s">
        <v>250</v>
      </c>
      <c r="B23" s="55">
        <v>-0.217</v>
      </c>
      <c r="C23" s="52">
        <v>8.3000000000000004E-2</v>
      </c>
      <c r="D23" s="52">
        <v>-6.0000000000000001E-3</v>
      </c>
      <c r="E23" s="52">
        <v>-5.6000000000000001E-2</v>
      </c>
      <c r="F23" t="s">
        <v>172</v>
      </c>
    </row>
    <row r="24" spans="1:6" x14ac:dyDescent="0.3">
      <c r="A24" s="52" t="s">
        <v>251</v>
      </c>
      <c r="B24" s="52">
        <v>-6.3E-2</v>
      </c>
      <c r="C24" s="52">
        <v>0.126</v>
      </c>
      <c r="D24" s="55">
        <v>-0.44700000000000001</v>
      </c>
      <c r="E24" s="52">
        <v>0.246</v>
      </c>
      <c r="F24" t="s">
        <v>31</v>
      </c>
    </row>
    <row r="25" spans="1:6" x14ac:dyDescent="0.3">
      <c r="A25" s="52" t="s">
        <v>252</v>
      </c>
      <c r="B25" s="55">
        <v>-0.22700000000000001</v>
      </c>
      <c r="C25" s="52">
        <v>-0.05</v>
      </c>
      <c r="D25" s="52">
        <v>7.0999999999999994E-2</v>
      </c>
      <c r="E25" s="52">
        <v>3.3000000000000002E-2</v>
      </c>
      <c r="F25" t="s">
        <v>32</v>
      </c>
    </row>
    <row r="26" spans="1:6" x14ac:dyDescent="0.3">
      <c r="A26" s="52" t="s">
        <v>253</v>
      </c>
      <c r="B26" s="55">
        <v>-0.22700000000000001</v>
      </c>
      <c r="C26" s="52">
        <v>0.106</v>
      </c>
      <c r="D26" s="52">
        <v>-3.4000000000000002E-2</v>
      </c>
      <c r="E26" s="52">
        <v>3.7999999999999999E-2</v>
      </c>
      <c r="F26" t="s">
        <v>33</v>
      </c>
    </row>
    <row r="27" spans="1:6" x14ac:dyDescent="0.3">
      <c r="A27" s="52" t="s">
        <v>254</v>
      </c>
      <c r="B27" s="55">
        <v>-0.19400000000000001</v>
      </c>
      <c r="C27" s="52">
        <v>0.16600000000000001</v>
      </c>
      <c r="D27" s="52">
        <v>-0.06</v>
      </c>
      <c r="E27" s="52">
        <v>0.13600000000000001</v>
      </c>
      <c r="F27" t="s">
        <v>30</v>
      </c>
    </row>
    <row r="28" spans="1:6" x14ac:dyDescent="0.3">
      <c r="A28" s="52" t="s">
        <v>255</v>
      </c>
      <c r="B28" s="52">
        <v>-7.5999999999999998E-2</v>
      </c>
      <c r="C28" s="52">
        <v>4.1000000000000002E-2</v>
      </c>
      <c r="D28" s="52">
        <v>-0.25800000000000001</v>
      </c>
      <c r="E28" s="55">
        <v>0.28399999999999997</v>
      </c>
      <c r="F28" t="s">
        <v>153</v>
      </c>
    </row>
    <row r="29" spans="1:6" x14ac:dyDescent="0.3">
      <c r="A29" s="52" t="s">
        <v>256</v>
      </c>
      <c r="B29" s="55">
        <v>0.23100000000000001</v>
      </c>
      <c r="C29" s="52">
        <v>0.05</v>
      </c>
      <c r="D29" s="52">
        <v>-7.0999999999999994E-2</v>
      </c>
      <c r="E29" s="52">
        <v>-6.3E-2</v>
      </c>
      <c r="F29" t="s">
        <v>156</v>
      </c>
    </row>
    <row r="30" spans="1:6" x14ac:dyDescent="0.3">
      <c r="A30" s="52" t="s">
        <v>257</v>
      </c>
      <c r="B30" s="55">
        <v>0.224</v>
      </c>
      <c r="C30" s="52">
        <v>4.0000000000000001E-3</v>
      </c>
      <c r="D30" s="52">
        <v>3.3000000000000002E-2</v>
      </c>
      <c r="E30" s="52">
        <v>-0.09</v>
      </c>
      <c r="F30" t="s">
        <v>20</v>
      </c>
    </row>
    <row r="31" spans="1:6" x14ac:dyDescent="0.3">
      <c r="A31" s="52" t="s">
        <v>258</v>
      </c>
      <c r="B31" s="52">
        <v>-0.14000000000000001</v>
      </c>
      <c r="C31" s="52">
        <v>1.6E-2</v>
      </c>
      <c r="D31" s="55">
        <v>0.34899999999999998</v>
      </c>
      <c r="E31" s="52">
        <v>-0.16</v>
      </c>
      <c r="F31" t="s">
        <v>159</v>
      </c>
    </row>
    <row r="32" spans="1:6" x14ac:dyDescent="0.3">
      <c r="A32" s="52" t="s">
        <v>259</v>
      </c>
      <c r="B32" s="55">
        <v>-0.22800000000000001</v>
      </c>
      <c r="C32" s="52">
        <v>6.8000000000000005E-2</v>
      </c>
      <c r="D32" s="52">
        <v>-0.04</v>
      </c>
      <c r="E32" s="52">
        <v>3.6999999999999998E-2</v>
      </c>
      <c r="F32" t="s">
        <v>163</v>
      </c>
    </row>
    <row r="33" spans="1:6" x14ac:dyDescent="0.3">
      <c r="A33" s="52" t="s">
        <v>260</v>
      </c>
      <c r="B33" s="52">
        <v>-0.19900000000000001</v>
      </c>
      <c r="C33" s="52">
        <v>0.151</v>
      </c>
      <c r="D33" s="52">
        <v>8.9999999999999993E-3</v>
      </c>
      <c r="E33" s="55">
        <v>-0.22900000000000001</v>
      </c>
      <c r="F33" t="s">
        <v>164</v>
      </c>
    </row>
    <row r="34" spans="1:6" x14ac:dyDescent="0.3">
      <c r="A34" s="52" t="s">
        <v>261</v>
      </c>
      <c r="B34" s="52">
        <v>-0.113</v>
      </c>
      <c r="C34" s="55">
        <v>0.376</v>
      </c>
      <c r="D34" s="52">
        <v>-5.3999999999999999E-2</v>
      </c>
      <c r="E34" s="52">
        <v>-9.0999999999999998E-2</v>
      </c>
      <c r="F34" t="s">
        <v>165</v>
      </c>
    </row>
    <row r="35" spans="1:6" x14ac:dyDescent="0.3">
      <c r="A35" s="52" t="s">
        <v>221</v>
      </c>
      <c r="B35" t="s">
        <v>225</v>
      </c>
    </row>
    <row r="36" spans="1:6" x14ac:dyDescent="0.3">
      <c r="A36" s="52" t="s">
        <v>222</v>
      </c>
      <c r="B36" t="s">
        <v>226</v>
      </c>
    </row>
    <row r="37" spans="1:6" x14ac:dyDescent="0.3">
      <c r="A37" s="52" t="s">
        <v>223</v>
      </c>
      <c r="B37" t="s">
        <v>227</v>
      </c>
    </row>
    <row r="38" spans="1:6" x14ac:dyDescent="0.3">
      <c r="A38" s="52" t="s">
        <v>224</v>
      </c>
      <c r="B38" t="s">
        <v>228</v>
      </c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BB13-B5FD-4A7F-8EC0-83CB5C82C65E}">
  <dimension ref="A1:C36"/>
  <sheetViews>
    <sheetView topLeftCell="A12" workbookViewId="0">
      <selection sqref="A1:B36"/>
    </sheetView>
  </sheetViews>
  <sheetFormatPr defaultRowHeight="14.4" x14ac:dyDescent="0.3"/>
  <sheetData>
    <row r="1" spans="1:2" x14ac:dyDescent="0.3">
      <c r="A1" s="52" t="s">
        <v>262</v>
      </c>
      <c r="B1" s="36" t="s">
        <v>125</v>
      </c>
    </row>
    <row r="2" spans="1:2" x14ac:dyDescent="0.3">
      <c r="A2" s="52" t="s">
        <v>298</v>
      </c>
      <c r="B2" s="36" t="s">
        <v>124</v>
      </c>
    </row>
    <row r="3" spans="1:2" x14ac:dyDescent="0.3">
      <c r="A3" s="52" t="s">
        <v>299</v>
      </c>
      <c r="B3" s="36" t="s">
        <v>123</v>
      </c>
    </row>
    <row r="4" spans="1:2" x14ac:dyDescent="0.3">
      <c r="A4" s="52" t="s">
        <v>229</v>
      </c>
      <c r="B4" s="36" t="s">
        <v>126</v>
      </c>
    </row>
    <row r="5" spans="1:2" x14ac:dyDescent="0.3">
      <c r="A5" s="52" t="s">
        <v>230</v>
      </c>
      <c r="B5" s="36" t="s">
        <v>127</v>
      </c>
    </row>
    <row r="6" spans="1:2" x14ac:dyDescent="0.3">
      <c r="A6" s="52" t="s">
        <v>231</v>
      </c>
      <c r="B6" s="36" t="s">
        <v>128</v>
      </c>
    </row>
    <row r="7" spans="1:2" x14ac:dyDescent="0.3">
      <c r="A7" s="52" t="s">
        <v>232</v>
      </c>
      <c r="B7" s="36" t="s">
        <v>129</v>
      </c>
    </row>
    <row r="8" spans="1:2" x14ac:dyDescent="0.3">
      <c r="A8" s="52" t="s">
        <v>233</v>
      </c>
      <c r="B8" s="36" t="s">
        <v>130</v>
      </c>
    </row>
    <row r="9" spans="1:2" x14ac:dyDescent="0.3">
      <c r="A9" s="52" t="s">
        <v>234</v>
      </c>
      <c r="B9" s="37" t="s">
        <v>131</v>
      </c>
    </row>
    <row r="10" spans="1:2" x14ac:dyDescent="0.3">
      <c r="A10" s="52" t="s">
        <v>235</v>
      </c>
      <c r="B10" s="37" t="s">
        <v>132</v>
      </c>
    </row>
    <row r="11" spans="1:2" x14ac:dyDescent="0.3">
      <c r="A11" s="52" t="s">
        <v>236</v>
      </c>
      <c r="B11" s="37" t="s">
        <v>133</v>
      </c>
    </row>
    <row r="12" spans="1:2" x14ac:dyDescent="0.3">
      <c r="A12" s="52" t="s">
        <v>237</v>
      </c>
      <c r="B12" s="37" t="s">
        <v>134</v>
      </c>
    </row>
    <row r="13" spans="1:2" x14ac:dyDescent="0.3">
      <c r="A13" s="52" t="s">
        <v>238</v>
      </c>
      <c r="B13" s="37" t="s">
        <v>135</v>
      </c>
    </row>
    <row r="14" spans="1:2" x14ac:dyDescent="0.3">
      <c r="A14" s="52" t="s">
        <v>239</v>
      </c>
      <c r="B14" s="36" t="s">
        <v>136</v>
      </c>
    </row>
    <row r="15" spans="1:2" x14ac:dyDescent="0.3">
      <c r="A15" s="52" t="s">
        <v>240</v>
      </c>
      <c r="B15" s="36" t="s">
        <v>137</v>
      </c>
    </row>
    <row r="16" spans="1:2" x14ac:dyDescent="0.3">
      <c r="A16" s="52" t="s">
        <v>241</v>
      </c>
      <c r="B16" s="36" t="s">
        <v>139</v>
      </c>
    </row>
    <row r="17" spans="1:3" x14ac:dyDescent="0.3">
      <c r="A17" s="52" t="s">
        <v>242</v>
      </c>
      <c r="B17" s="36" t="s">
        <v>140</v>
      </c>
    </row>
    <row r="18" spans="1:3" x14ac:dyDescent="0.3">
      <c r="A18" s="52" t="s">
        <v>243</v>
      </c>
      <c r="B18" s="36" t="s">
        <v>160</v>
      </c>
      <c r="C18" s="36"/>
    </row>
    <row r="19" spans="1:3" x14ac:dyDescent="0.3">
      <c r="A19" s="52" t="s">
        <v>244</v>
      </c>
      <c r="B19" s="36" t="s">
        <v>142</v>
      </c>
    </row>
    <row r="20" spans="1:3" x14ac:dyDescent="0.3">
      <c r="A20" s="52" t="s">
        <v>245</v>
      </c>
      <c r="B20" s="36" t="s">
        <v>143</v>
      </c>
    </row>
    <row r="21" spans="1:3" x14ac:dyDescent="0.3">
      <c r="A21" s="52" t="s">
        <v>246</v>
      </c>
      <c r="B21" s="36" t="s">
        <v>144</v>
      </c>
    </row>
    <row r="22" spans="1:3" x14ac:dyDescent="0.3">
      <c r="A22" s="52" t="s">
        <v>247</v>
      </c>
      <c r="B22" s="36" t="s">
        <v>145</v>
      </c>
    </row>
    <row r="23" spans="1:3" x14ac:dyDescent="0.3">
      <c r="A23" s="52" t="s">
        <v>248</v>
      </c>
      <c r="B23" s="36" t="s">
        <v>146</v>
      </c>
    </row>
    <row r="24" spans="1:3" x14ac:dyDescent="0.3">
      <c r="A24" s="52" t="s">
        <v>249</v>
      </c>
      <c r="B24" s="36" t="s">
        <v>147</v>
      </c>
    </row>
    <row r="25" spans="1:3" x14ac:dyDescent="0.3">
      <c r="A25" s="52" t="s">
        <v>250</v>
      </c>
      <c r="B25" s="36" t="s">
        <v>148</v>
      </c>
    </row>
    <row r="26" spans="1:3" x14ac:dyDescent="0.3">
      <c r="A26" s="52" t="s">
        <v>251</v>
      </c>
      <c r="B26" s="36" t="s">
        <v>150</v>
      </c>
    </row>
    <row r="27" spans="1:3" x14ac:dyDescent="0.3">
      <c r="A27" s="52" t="s">
        <v>252</v>
      </c>
      <c r="B27" s="36" t="s">
        <v>151</v>
      </c>
    </row>
    <row r="28" spans="1:3" x14ac:dyDescent="0.3">
      <c r="A28" s="52" t="s">
        <v>253</v>
      </c>
      <c r="B28" s="36" t="s">
        <v>152</v>
      </c>
    </row>
    <row r="29" spans="1:3" x14ac:dyDescent="0.3">
      <c r="A29" s="52" t="s">
        <v>254</v>
      </c>
      <c r="B29" s="36" t="s">
        <v>154</v>
      </c>
    </row>
    <row r="30" spans="1:3" x14ac:dyDescent="0.3">
      <c r="A30" s="52" t="s">
        <v>255</v>
      </c>
      <c r="B30" s="36" t="s">
        <v>153</v>
      </c>
    </row>
    <row r="31" spans="1:3" x14ac:dyDescent="0.3">
      <c r="A31" s="52" t="s">
        <v>256</v>
      </c>
      <c r="B31" t="s">
        <v>156</v>
      </c>
    </row>
    <row r="32" spans="1:3" x14ac:dyDescent="0.3">
      <c r="A32" s="52" t="s">
        <v>257</v>
      </c>
      <c r="B32" s="36" t="s">
        <v>141</v>
      </c>
    </row>
    <row r="33" spans="1:2" x14ac:dyDescent="0.3">
      <c r="A33" s="52" t="s">
        <v>258</v>
      </c>
      <c r="B33" s="36" t="s">
        <v>159</v>
      </c>
    </row>
    <row r="34" spans="1:2" x14ac:dyDescent="0.3">
      <c r="A34" s="52" t="s">
        <v>259</v>
      </c>
      <c r="B34" s="36" t="s">
        <v>163</v>
      </c>
    </row>
    <row r="35" spans="1:2" x14ac:dyDescent="0.3">
      <c r="A35" s="52" t="s">
        <v>260</v>
      </c>
      <c r="B35" s="36" t="s">
        <v>164</v>
      </c>
    </row>
    <row r="36" spans="1:2" x14ac:dyDescent="0.3">
      <c r="A36" s="52" t="s">
        <v>261</v>
      </c>
      <c r="B36" s="36" t="s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4CDD-83C0-4C42-8A25-BB1E6F381C36}">
  <dimension ref="A1:C37"/>
  <sheetViews>
    <sheetView topLeftCell="A25" workbookViewId="0">
      <selection activeCell="A2" sqref="A2:A37"/>
    </sheetView>
  </sheetViews>
  <sheetFormatPr defaultRowHeight="14.4" x14ac:dyDescent="0.3"/>
  <cols>
    <col min="1" max="3" width="27.44140625" customWidth="1"/>
  </cols>
  <sheetData>
    <row r="1" spans="1:3" ht="15.6" x14ac:dyDescent="0.3">
      <c r="A1" s="57" t="s">
        <v>347</v>
      </c>
      <c r="B1" s="57" t="s">
        <v>300</v>
      </c>
      <c r="C1" s="57" t="s">
        <v>301</v>
      </c>
    </row>
    <row r="2" spans="1:3" ht="46.8" x14ac:dyDescent="0.3">
      <c r="A2" s="58" t="s">
        <v>262</v>
      </c>
      <c r="B2" s="58" t="s">
        <v>302</v>
      </c>
      <c r="C2" s="58" t="s">
        <v>303</v>
      </c>
    </row>
    <row r="3" spans="1:3" ht="31.2" x14ac:dyDescent="0.3">
      <c r="A3" s="58" t="s">
        <v>298</v>
      </c>
      <c r="B3" s="58" t="s">
        <v>304</v>
      </c>
      <c r="C3" s="58" t="s">
        <v>305</v>
      </c>
    </row>
    <row r="4" spans="1:3" ht="31.2" x14ac:dyDescent="0.3">
      <c r="A4" s="58" t="s">
        <v>299</v>
      </c>
      <c r="B4" s="58" t="s">
        <v>306</v>
      </c>
      <c r="C4" s="58" t="s">
        <v>307</v>
      </c>
    </row>
    <row r="5" spans="1:3" ht="46.8" x14ac:dyDescent="0.3">
      <c r="A5" s="58" t="s">
        <v>229</v>
      </c>
      <c r="B5" s="58" t="s">
        <v>308</v>
      </c>
      <c r="C5" s="58" t="s">
        <v>309</v>
      </c>
    </row>
    <row r="6" spans="1:3" ht="31.2" x14ac:dyDescent="0.3">
      <c r="A6" s="58" t="s">
        <v>230</v>
      </c>
      <c r="B6" s="58" t="s">
        <v>310</v>
      </c>
      <c r="C6" s="58" t="s">
        <v>309</v>
      </c>
    </row>
    <row r="7" spans="1:3" ht="15.6" x14ac:dyDescent="0.3">
      <c r="A7" s="58" t="s">
        <v>231</v>
      </c>
      <c r="B7" s="58" t="s">
        <v>311</v>
      </c>
      <c r="C7" s="58" t="s">
        <v>312</v>
      </c>
    </row>
    <row r="8" spans="1:3" ht="31.2" x14ac:dyDescent="0.3">
      <c r="A8" s="58" t="s">
        <v>232</v>
      </c>
      <c r="B8" s="58" t="s">
        <v>313</v>
      </c>
      <c r="C8" s="58" t="s">
        <v>312</v>
      </c>
    </row>
    <row r="9" spans="1:3" ht="46.8" x14ac:dyDescent="0.3">
      <c r="A9" s="58" t="s">
        <v>233</v>
      </c>
      <c r="B9" s="58" t="s">
        <v>314</v>
      </c>
      <c r="C9" s="58" t="s">
        <v>315</v>
      </c>
    </row>
    <row r="10" spans="1:3" ht="31.2" x14ac:dyDescent="0.3">
      <c r="A10" s="58" t="s">
        <v>234</v>
      </c>
      <c r="B10" s="58" t="s">
        <v>11</v>
      </c>
      <c r="C10" s="58" t="s">
        <v>316</v>
      </c>
    </row>
    <row r="11" spans="1:3" ht="31.2" x14ac:dyDescent="0.3">
      <c r="A11" s="58" t="s">
        <v>235</v>
      </c>
      <c r="B11" s="58" t="s">
        <v>12</v>
      </c>
      <c r="C11" s="58" t="s">
        <v>316</v>
      </c>
    </row>
    <row r="12" spans="1:3" ht="31.2" x14ac:dyDescent="0.3">
      <c r="A12" s="58" t="s">
        <v>236</v>
      </c>
      <c r="B12" s="58" t="s">
        <v>13</v>
      </c>
      <c r="C12" s="58" t="s">
        <v>316</v>
      </c>
    </row>
    <row r="13" spans="1:3" ht="31.2" x14ac:dyDescent="0.3">
      <c r="A13" s="58" t="s">
        <v>237</v>
      </c>
      <c r="B13" s="58" t="s">
        <v>14</v>
      </c>
      <c r="C13" s="58" t="s">
        <v>316</v>
      </c>
    </row>
    <row r="14" spans="1:3" ht="31.2" x14ac:dyDescent="0.3">
      <c r="A14" s="58" t="s">
        <v>238</v>
      </c>
      <c r="B14" s="58" t="s">
        <v>317</v>
      </c>
      <c r="C14" s="58" t="s">
        <v>316</v>
      </c>
    </row>
    <row r="15" spans="1:3" ht="46.8" x14ac:dyDescent="0.3">
      <c r="A15" s="58" t="s">
        <v>239</v>
      </c>
      <c r="B15" s="58" t="s">
        <v>318</v>
      </c>
      <c r="C15" s="58" t="s">
        <v>319</v>
      </c>
    </row>
    <row r="16" spans="1:3" ht="15.6" x14ac:dyDescent="0.3">
      <c r="A16" s="58" t="s">
        <v>240</v>
      </c>
      <c r="B16" s="58" t="s">
        <v>320</v>
      </c>
      <c r="C16" s="58" t="s">
        <v>321</v>
      </c>
    </row>
    <row r="17" spans="1:3" ht="46.8" x14ac:dyDescent="0.3">
      <c r="A17" s="58" t="s">
        <v>241</v>
      </c>
      <c r="B17" s="58" t="s">
        <v>322</v>
      </c>
      <c r="C17" s="58" t="s">
        <v>307</v>
      </c>
    </row>
    <row r="18" spans="1:3" ht="46.8" x14ac:dyDescent="0.3">
      <c r="A18" s="58" t="s">
        <v>242</v>
      </c>
      <c r="B18" s="58" t="s">
        <v>323</v>
      </c>
      <c r="C18" s="58" t="s">
        <v>303</v>
      </c>
    </row>
    <row r="19" spans="1:3" ht="31.2" x14ac:dyDescent="0.3">
      <c r="A19" s="58" t="s">
        <v>243</v>
      </c>
      <c r="B19" s="58" t="s">
        <v>324</v>
      </c>
      <c r="C19" s="58" t="s">
        <v>325</v>
      </c>
    </row>
    <row r="20" spans="1:3" ht="46.8" x14ac:dyDescent="0.3">
      <c r="A20" s="58" t="s">
        <v>244</v>
      </c>
      <c r="B20" s="58" t="s">
        <v>326</v>
      </c>
      <c r="C20" s="58" t="s">
        <v>307</v>
      </c>
    </row>
    <row r="21" spans="1:3" ht="31.2" x14ac:dyDescent="0.3">
      <c r="A21" s="58" t="s">
        <v>245</v>
      </c>
      <c r="B21" s="58" t="s">
        <v>327</v>
      </c>
      <c r="C21" s="58" t="s">
        <v>303</v>
      </c>
    </row>
    <row r="22" spans="1:3" ht="46.8" x14ac:dyDescent="0.3">
      <c r="A22" s="58" t="s">
        <v>246</v>
      </c>
      <c r="B22" s="58" t="s">
        <v>328</v>
      </c>
      <c r="C22" s="58" t="s">
        <v>305</v>
      </c>
    </row>
    <row r="23" spans="1:3" ht="31.2" x14ac:dyDescent="0.3">
      <c r="A23" s="58" t="s">
        <v>247</v>
      </c>
      <c r="B23" s="58" t="s">
        <v>329</v>
      </c>
      <c r="C23" s="58" t="s">
        <v>307</v>
      </c>
    </row>
    <row r="24" spans="1:3" ht="31.2" x14ac:dyDescent="0.3">
      <c r="A24" s="58" t="s">
        <v>248</v>
      </c>
      <c r="B24" s="58" t="s">
        <v>330</v>
      </c>
      <c r="C24" s="58" t="s">
        <v>331</v>
      </c>
    </row>
    <row r="25" spans="1:3" ht="31.2" x14ac:dyDescent="0.3">
      <c r="A25" s="58" t="s">
        <v>249</v>
      </c>
      <c r="B25" s="58" t="s">
        <v>332</v>
      </c>
      <c r="C25" s="58" t="s">
        <v>331</v>
      </c>
    </row>
    <row r="26" spans="1:3" ht="31.2" x14ac:dyDescent="0.3">
      <c r="A26" s="58" t="s">
        <v>250</v>
      </c>
      <c r="B26" s="58" t="s">
        <v>333</v>
      </c>
      <c r="C26" s="58" t="s">
        <v>307</v>
      </c>
    </row>
    <row r="27" spans="1:3" ht="31.2" x14ac:dyDescent="0.3">
      <c r="A27" s="58" t="s">
        <v>251</v>
      </c>
      <c r="B27" s="58" t="s">
        <v>334</v>
      </c>
      <c r="C27" s="58" t="s">
        <v>335</v>
      </c>
    </row>
    <row r="28" spans="1:3" ht="15.6" x14ac:dyDescent="0.3">
      <c r="A28" s="58" t="s">
        <v>252</v>
      </c>
      <c r="B28" s="58" t="s">
        <v>32</v>
      </c>
      <c r="C28" s="58" t="s">
        <v>336</v>
      </c>
    </row>
    <row r="29" spans="1:3" ht="15.6" x14ac:dyDescent="0.3">
      <c r="A29" s="58" t="s">
        <v>253</v>
      </c>
      <c r="B29" s="58" t="s">
        <v>33</v>
      </c>
      <c r="C29" s="58" t="s">
        <v>336</v>
      </c>
    </row>
    <row r="30" spans="1:3" ht="15.6" x14ac:dyDescent="0.3">
      <c r="A30" s="58" t="s">
        <v>254</v>
      </c>
      <c r="B30" s="58" t="s">
        <v>154</v>
      </c>
      <c r="C30" s="58" t="s">
        <v>321</v>
      </c>
    </row>
    <row r="31" spans="1:3" ht="15.6" x14ac:dyDescent="0.3">
      <c r="A31" s="58" t="s">
        <v>255</v>
      </c>
      <c r="B31" s="58" t="s">
        <v>337</v>
      </c>
      <c r="C31" s="58" t="s">
        <v>335</v>
      </c>
    </row>
    <row r="32" spans="1:3" ht="31.2" x14ac:dyDescent="0.3">
      <c r="A32" s="58" t="s">
        <v>256</v>
      </c>
      <c r="B32" s="58" t="s">
        <v>338</v>
      </c>
      <c r="C32" s="58" t="s">
        <v>339</v>
      </c>
    </row>
    <row r="33" spans="1:3" ht="31.2" x14ac:dyDescent="0.3">
      <c r="A33" s="58" t="s">
        <v>257</v>
      </c>
      <c r="B33" s="58" t="s">
        <v>340</v>
      </c>
      <c r="C33" s="58" t="s">
        <v>303</v>
      </c>
    </row>
    <row r="34" spans="1:3" ht="31.2" x14ac:dyDescent="0.3">
      <c r="A34" s="58" t="s">
        <v>258</v>
      </c>
      <c r="B34" s="58" t="s">
        <v>341</v>
      </c>
      <c r="C34" s="58" t="s">
        <v>342</v>
      </c>
    </row>
    <row r="35" spans="1:3" ht="46.8" x14ac:dyDescent="0.3">
      <c r="A35" s="58" t="s">
        <v>259</v>
      </c>
      <c r="B35" s="58" t="s">
        <v>343</v>
      </c>
      <c r="C35" s="58" t="s">
        <v>312</v>
      </c>
    </row>
    <row r="36" spans="1:3" ht="31.2" x14ac:dyDescent="0.3">
      <c r="A36" s="58" t="s">
        <v>260</v>
      </c>
      <c r="B36" s="58" t="s">
        <v>344</v>
      </c>
      <c r="C36" s="58" t="s">
        <v>345</v>
      </c>
    </row>
    <row r="37" spans="1:3" ht="31.2" x14ac:dyDescent="0.3">
      <c r="A37" s="58" t="s">
        <v>261</v>
      </c>
      <c r="B37" s="58" t="s">
        <v>346</v>
      </c>
      <c r="C37" s="58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info</vt:lpstr>
      <vt:lpstr>спб</vt:lpstr>
      <vt:lpstr>Лист9</vt:lpstr>
      <vt:lpstr>Лист1</vt:lpstr>
      <vt:lpstr>Лист2</vt:lpstr>
      <vt:lpstr>Лист3</vt:lpstr>
      <vt:lpstr>кластерный 2023</vt:lpstr>
      <vt:lpstr>Лист4</vt:lpstr>
      <vt:lpstr>Лист5</vt:lpstr>
      <vt:lpstr>Лист6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Федотова</dc:creator>
  <cp:lastModifiedBy>Ксения Федотова</cp:lastModifiedBy>
  <dcterms:created xsi:type="dcterms:W3CDTF">2025-03-26T07:18:56Z</dcterms:created>
  <dcterms:modified xsi:type="dcterms:W3CDTF">2025-05-26T22:54:02Z</dcterms:modified>
</cp:coreProperties>
</file>